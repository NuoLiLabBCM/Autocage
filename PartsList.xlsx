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1C8B641-A675-49CB-A796-94CFD5C9D826}" xr6:coauthVersionLast="47" xr6:coauthVersionMax="47" xr10:uidLastSave="{00000000-0000-0000-0000-000000000000}"/>
  <bookViews>
    <workbookView xWindow="28680" yWindow="-120" windowWidth="29040" windowHeight="15840" tabRatio="602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G85" i="1"/>
  <c r="G92" i="1"/>
  <c r="G84" i="1"/>
  <c r="G83" i="1"/>
  <c r="G91" i="1"/>
  <c r="G71" i="1"/>
  <c r="E57" i="1"/>
  <c r="G82" i="1" l="1"/>
  <c r="G81" i="1"/>
  <c r="G20" i="1"/>
  <c r="E7" i="1"/>
  <c r="E127" i="1"/>
  <c r="E125" i="1" l="1"/>
  <c r="G125" i="1" s="1"/>
  <c r="G68" i="1"/>
  <c r="E110" i="1"/>
  <c r="E88" i="1"/>
  <c r="G88" i="1" s="1"/>
  <c r="E23" i="1"/>
  <c r="E24" i="1"/>
  <c r="E18" i="1"/>
  <c r="G18" i="1" s="1"/>
  <c r="E119" i="1"/>
  <c r="G57" i="1"/>
  <c r="G46" i="1"/>
  <c r="E107" i="1"/>
  <c r="G107" i="1" s="1"/>
  <c r="E106" i="1"/>
  <c r="E108" i="1"/>
  <c r="G108" i="1" s="1"/>
  <c r="E109" i="1"/>
  <c r="E105" i="1"/>
  <c r="G105" i="1" s="1"/>
  <c r="E104" i="1"/>
  <c r="G104" i="1" s="1"/>
  <c r="E103" i="1"/>
  <c r="G103" i="1" s="1"/>
  <c r="E102" i="1"/>
  <c r="G102" i="1" s="1"/>
  <c r="G101" i="1"/>
  <c r="G100" i="1"/>
  <c r="G99" i="1"/>
  <c r="G98" i="1"/>
  <c r="G97" i="1"/>
  <c r="G96" i="1"/>
  <c r="G95" i="1"/>
  <c r="G94" i="1"/>
  <c r="E64" i="1"/>
  <c r="G64" i="1" s="1"/>
  <c r="E111" i="1"/>
  <c r="E112" i="1"/>
  <c r="E113" i="1"/>
  <c r="E115" i="1"/>
  <c r="G127" i="1"/>
  <c r="E126" i="1"/>
  <c r="G126" i="1" s="1"/>
  <c r="G89" i="1"/>
  <c r="G90" i="1"/>
  <c r="G87" i="1"/>
  <c r="G75" i="1"/>
  <c r="G76" i="1"/>
  <c r="G77" i="1"/>
  <c r="G74" i="1"/>
  <c r="G73" i="1"/>
  <c r="E63" i="1"/>
  <c r="G63" i="1" s="1"/>
  <c r="E72" i="1"/>
  <c r="G72" i="1" s="1"/>
  <c r="G70" i="1"/>
  <c r="G69" i="1"/>
  <c r="G65" i="1"/>
  <c r="G66" i="1"/>
  <c r="G67" i="1"/>
  <c r="G62" i="1"/>
  <c r="G61" i="1"/>
  <c r="G52" i="1" l="1"/>
  <c r="G53" i="1"/>
  <c r="G51" i="1"/>
  <c r="G48" i="1"/>
  <c r="G49" i="1"/>
  <c r="G50" i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4" i="1"/>
  <c r="E29" i="1"/>
  <c r="G29" i="1" s="1"/>
  <c r="E28" i="1"/>
  <c r="G28" i="1" s="1"/>
  <c r="E21" i="1"/>
  <c r="G21" i="1" s="1"/>
  <c r="E124" i="1" l="1"/>
  <c r="G124" i="1" s="1"/>
  <c r="E122" i="1"/>
  <c r="G122" i="1" s="1"/>
  <c r="E121" i="1"/>
  <c r="G121" i="1" s="1"/>
  <c r="E120" i="1"/>
  <c r="G120" i="1" s="1"/>
  <c r="E123" i="1"/>
  <c r="G123" i="1" s="1"/>
  <c r="G119" i="1"/>
  <c r="G78" i="1"/>
  <c r="G79" i="1"/>
  <c r="G80" i="1"/>
  <c r="G93" i="1"/>
  <c r="G106" i="1"/>
  <c r="G109" i="1"/>
  <c r="G110" i="1"/>
  <c r="G111" i="1"/>
  <c r="G113" i="1"/>
  <c r="G112" i="1"/>
  <c r="G114" i="1"/>
  <c r="G115" i="1"/>
  <c r="G116" i="1"/>
  <c r="G117" i="1"/>
  <c r="G118" i="1"/>
  <c r="G34" i="1"/>
  <c r="G60" i="1"/>
  <c r="G59" i="1"/>
  <c r="G58" i="1"/>
  <c r="G8" i="1"/>
  <c r="G7" i="1"/>
  <c r="G6" i="1"/>
  <c r="G5" i="1"/>
  <c r="G4" i="1"/>
  <c r="E3" i="1"/>
  <c r="G3" i="1" s="1"/>
  <c r="E2" i="1"/>
  <c r="G56" i="1"/>
  <c r="G55" i="1"/>
  <c r="G27" i="1"/>
  <c r="G26" i="1"/>
  <c r="G25" i="1"/>
  <c r="G24" i="1"/>
  <c r="G23" i="1"/>
  <c r="G22" i="1"/>
  <c r="G19" i="1"/>
  <c r="G54" i="1"/>
  <c r="G47" i="1"/>
  <c r="G45" i="1"/>
  <c r="G44" i="1"/>
  <c r="G43" i="1"/>
  <c r="G33" i="1"/>
  <c r="G32" i="1"/>
  <c r="G31" i="1"/>
  <c r="G30" i="1"/>
  <c r="G17" i="1"/>
  <c r="G16" i="1"/>
  <c r="G15" i="1"/>
  <c r="G14" i="1"/>
  <c r="G13" i="1"/>
  <c r="G12" i="1"/>
  <c r="G11" i="1"/>
  <c r="G10" i="1"/>
  <c r="G9" i="1"/>
  <c r="G36" i="1"/>
  <c r="G35" i="1"/>
  <c r="G2" i="1" l="1"/>
</calcChain>
</file>

<file path=xl/sharedStrings.xml><?xml version="1.0" encoding="utf-8"?>
<sst xmlns="http://schemas.openxmlformats.org/spreadsheetml/2006/main" count="412" uniqueCount="294">
  <si>
    <t>Part</t>
  </si>
  <si>
    <t>Vendor</t>
  </si>
  <si>
    <t>Item no.</t>
  </si>
  <si>
    <t>Item description</t>
  </si>
  <si>
    <t>Qty per Cage</t>
  </si>
  <si>
    <t>Unit Price</t>
  </si>
  <si>
    <t>Each Cage</t>
  </si>
  <si>
    <t>Note</t>
  </si>
  <si>
    <t>Motors</t>
  </si>
  <si>
    <t>Actuonix</t>
  </si>
  <si>
    <t>L12-50-100-12-I</t>
  </si>
  <si>
    <t>L12 12V 50mm 100:1 Analog Miniature Linear Actuator</t>
  </si>
  <si>
    <t>Pneumatic Actuator for Headfixation</t>
  </si>
  <si>
    <t>McMaster-carr</t>
  </si>
  <si>
    <t>6604K11</t>
  </si>
  <si>
    <t>Miniature Threaded-Body Air Cylinder  Single Acting, 1/4" Bore, 3/8" OD, 1/4" Stroke Length</t>
  </si>
  <si>
    <t>91843A109</t>
  </si>
  <si>
    <t>Knurled Panel Nut
3/8"-32 Thread Size</t>
  </si>
  <si>
    <t>5779K246</t>
  </si>
  <si>
    <t>Push-to-Connect Tube Fitting for Air Straight Adapter, for 1/4" Tube OD x 10-32 Thread Male</t>
  </si>
  <si>
    <t>5779K44</t>
  </si>
  <si>
    <t>Push-to-Connect Tube Fitting for Air
Wye Connector, for 1/4" Tube OD</t>
  </si>
  <si>
    <t>FESTO</t>
  </si>
  <si>
    <t>Prop-press reg VPPE-3-1-1/8-10-010-E1</t>
  </si>
  <si>
    <t>5225K564</t>
  </si>
  <si>
    <t>90 Degree Swivel Elbow, for 6 mm Tube OD x 1/8 BSPP Male</t>
  </si>
  <si>
    <t>5779K425</t>
  </si>
  <si>
    <t>90 Degree Swivel Elbow, for 1/4" Tube OD x 1/8 BSPT Male</t>
  </si>
  <si>
    <t>9836K21</t>
  </si>
  <si>
    <t>Muffler with 1/8 BSPT Male Steel Fitting</t>
  </si>
  <si>
    <t>Switch</t>
  </si>
  <si>
    <t>weighting Stage</t>
  </si>
  <si>
    <t>SparkFun Load Cell Amplifier - HX711</t>
  </si>
  <si>
    <t>Buzzer</t>
  </si>
  <si>
    <t xml:space="preserve">490-CPE-163 </t>
  </si>
  <si>
    <t>Headport</t>
  </si>
  <si>
    <t>SD Card</t>
  </si>
  <si>
    <t>Mouser</t>
  </si>
  <si>
    <t>Adafruit Assembled Data Logging shield for Arduino</t>
  </si>
  <si>
    <t>Shield stacking headers for Arduino (R3 Compatible)</t>
  </si>
  <si>
    <t>CR1220 12mm Diameter - 3V Lithium Coin Cell Battery - CR1220</t>
  </si>
  <si>
    <t>Arduino</t>
  </si>
  <si>
    <t xml:space="preserve">A000062 </t>
  </si>
  <si>
    <t xml:space="preserve">Arduino Due 32bit ARM Microcontroller </t>
  </si>
  <si>
    <t xml:space="preserve">Pole Machenism </t>
  </si>
  <si>
    <t>Solenoid valve CPE10-M1BH-3GL-QS-6</t>
  </si>
  <si>
    <t>3/2-way solenoid valve</t>
  </si>
  <si>
    <t>62005K124</t>
  </si>
  <si>
    <t>1-way FLOW control VALVE</t>
  </si>
  <si>
    <t>push-in fitting 1/8</t>
  </si>
  <si>
    <t>push-in fitting M7 male</t>
  </si>
  <si>
    <t>5225K87</t>
  </si>
  <si>
    <t>7880T392</t>
  </si>
  <si>
    <t>Push-to-Connect Tube Fitting 6mm Tube OD, M5 Pipe</t>
  </si>
  <si>
    <t>Reward</t>
  </si>
  <si>
    <t>558-DMO063</t>
  </si>
  <si>
    <t>Solid State Relay</t>
  </si>
  <si>
    <t>Lee Co.</t>
  </si>
  <si>
    <t xml:space="preserve">LHDA1233215H </t>
  </si>
  <si>
    <t>solenoid valve for reward</t>
  </si>
  <si>
    <t>8505K745</t>
  </si>
  <si>
    <t>Scratch-Resistant Acrylic BLACK 1/8</t>
  </si>
  <si>
    <t>8505K758</t>
  </si>
  <si>
    <t>Scratch-Resistant Acrylic BLACK 1/4</t>
  </si>
  <si>
    <t xml:space="preserve">MCP4725 Breakout Board - 12-Bit DAC w/I2C </t>
  </si>
  <si>
    <t>FemtoBuck LED Driver</t>
  </si>
  <si>
    <t>LexonStar</t>
  </si>
  <si>
    <t>SP-01-R5</t>
  </si>
  <si>
    <t xml:space="preserve">Red (627nm) Rebel LED on a SinkPAD-II 20mm Star Base - 53 lm @ 350mA </t>
  </si>
  <si>
    <t>L12-30-50-12-I</t>
  </si>
  <si>
    <t>L12 12V 30mm 50:1 Analog Miniature Linear Actuator</t>
  </si>
  <si>
    <t>Analog pressure regulator</t>
  </si>
  <si>
    <t>for lickport (forward-backward)</t>
  </si>
  <si>
    <t>for lickport (left-right) and pole</t>
  </si>
  <si>
    <t>Piston for head-fixation</t>
  </si>
  <si>
    <t>Load cell</t>
  </si>
  <si>
    <t>Amplifier</t>
  </si>
  <si>
    <t>Switches (left and right)</t>
  </si>
  <si>
    <t>Data logging shield</t>
  </si>
  <si>
    <t>Masking flash LED and driver</t>
  </si>
  <si>
    <t>Enclosure</t>
  </si>
  <si>
    <t>Single Point Load Cell- 100g</t>
  </si>
  <si>
    <t>3139_0</t>
  </si>
  <si>
    <t>Piezo Buzzers &amp; Audio Indicators buzzer</t>
  </si>
  <si>
    <t>Push-to-Connect Tube Fitting for Air, Wye Connector, for 6 mm Tube OD</t>
  </si>
  <si>
    <t xml:space="preserve">     2 for reward valves; 1 for 3/2 solenoid</t>
  </si>
  <si>
    <t>COM-13716</t>
  </si>
  <si>
    <t>BCM-NL-HCT001</t>
  </si>
  <si>
    <t>Lickport Detector</t>
  </si>
  <si>
    <t>Screaming Circuts</t>
  </si>
  <si>
    <t>Sunstone Circuit</t>
  </si>
  <si>
    <t>Custom breakout PCB board</t>
  </si>
  <si>
    <t>3D print parts</t>
  </si>
  <si>
    <t>3D hubs</t>
  </si>
  <si>
    <t>485-1352</t>
  </si>
  <si>
    <t>Male-Female Threaded Hex Standoff, 1/4" Hex Size, 3/8" Long, 4-40 to 4-40 Size Thread</t>
  </si>
  <si>
    <t>Male-Female Threaded Hex Standoff, 1/4" Hex Size, 1/4" Long, 4-40 to 4-40 Size Thread</t>
  </si>
  <si>
    <t>92745A321</t>
  </si>
  <si>
    <t>92745A320</t>
  </si>
  <si>
    <t>92745A324</t>
  </si>
  <si>
    <t>Male-Female Threaded Hex Standoff, 1/4" Hex Size, 3/4" Long, 4-40 to 4-40 Size Thread</t>
  </si>
  <si>
    <t>90176A155</t>
  </si>
  <si>
    <t>Nylon Unthreaded Spacers 1/2" OD, 1/4" Long, Black</t>
  </si>
  <si>
    <t>Nylon Pan Head Screws Phillips, 1/4"-20 Thread, 1/2" Long</t>
  </si>
  <si>
    <t>94735A763</t>
  </si>
  <si>
    <t>Nylon Pan Head Screws Phillips, 4-40 Thread, 1/4" Long</t>
  </si>
  <si>
    <t>94735A717</t>
  </si>
  <si>
    <t>Nylon Pan Head Screws Phillips, 6-32 Thread, 1/4" Long</t>
  </si>
  <si>
    <t>94735A727</t>
  </si>
  <si>
    <t>91772A537</t>
  </si>
  <si>
    <t>91772A535</t>
  </si>
  <si>
    <t>for home cage</t>
  </si>
  <si>
    <t>for frame</t>
  </si>
  <si>
    <t>for headport</t>
  </si>
  <si>
    <t>93181A411</t>
  </si>
  <si>
    <t>Aluminum Hex Nut, 10-32 Thread Size</t>
  </si>
  <si>
    <t xml:space="preserve">540-D439-V1ML-G2 </t>
  </si>
  <si>
    <t xml:space="preserve">Basic / Snap Action Switches SPDT QC Straight Lever 5A 125-250V </t>
  </si>
  <si>
    <t>91292A020</t>
  </si>
  <si>
    <t>18-8 Stainless Steel Socket Head Screw, M3 x 0.5 mm Thread, 25 mm Long</t>
  </si>
  <si>
    <t>90592A085</t>
  </si>
  <si>
    <t>Steel Hex NutMedium-Strength, Class 8, M3 x 0.5 mm Thread</t>
  </si>
  <si>
    <t>Phidgets</t>
  </si>
  <si>
    <t>95836A259</t>
  </si>
  <si>
    <t>18-8 Stainless Steel Pan Head Phillips Screws, M2.5 x 0.45 mm Thread, 12mm Long</t>
  </si>
  <si>
    <t>89015K111</t>
  </si>
  <si>
    <t>Multipurpose 6061 Aluminum Sheet, 0.016" Thick, 2" x 24"</t>
  </si>
  <si>
    <t>18-8 Stainless Steel Pan Head Phillips Screw, 6-32 Thread, 1/4" Long</t>
  </si>
  <si>
    <t>91772A144</t>
  </si>
  <si>
    <t>18-8 Stainless Steel Pan Head Phillips Screw, 8-32 Thread, 1/2" Long</t>
  </si>
  <si>
    <t>91772A194</t>
  </si>
  <si>
    <t>91290A176</t>
  </si>
  <si>
    <t>Alloy Steel Socket Head Screw, M4 x 0.7 mm Thread, 25 mm Long</t>
  </si>
  <si>
    <t>Black-Oxide Steel Hex Nut, Medium-Strength, Class 8, M4 x 0.7 mm Thread</t>
  </si>
  <si>
    <t>90593A003</t>
  </si>
  <si>
    <t>91772a146</t>
  </si>
  <si>
    <t>18-8 Stainless Steel Pan Head Phillips Screw, 6-32 Thread, 3/8" Long</t>
  </si>
  <si>
    <t>92150A106</t>
  </si>
  <si>
    <t>Washer Nylon Plastic, Number 6 Screw Size, NAS1515-H06L</t>
  </si>
  <si>
    <t>490-SWI25-24-N-P5</t>
  </si>
  <si>
    <t>Wall Mount AC Adapters 25.2W 24V 1.05A</t>
  </si>
  <si>
    <t xml:space="preserve">490-SWI25-12-N-P5 </t>
  </si>
  <si>
    <t xml:space="preserve">Wall Mount AC Adapters 25.2W 12V 2.1A </t>
  </si>
  <si>
    <t xml:space="preserve">485-1351 </t>
  </si>
  <si>
    <t xml:space="preserve">2-Way 2.1mm DC Barrel Jack Splitter </t>
  </si>
  <si>
    <t xml:space="preserve">4-Way 2.1mm DC Barrel Jack Splitter </t>
  </si>
  <si>
    <t>545-U050-006</t>
  </si>
  <si>
    <t>USB 2.0 to micro B Cable,6ft</t>
  </si>
  <si>
    <t xml:space="preserve">612-RA1H1C112R </t>
  </si>
  <si>
    <t xml:space="preserve">Rocker Switches 16A 125VAC Horiz PCB Off-On </t>
  </si>
  <si>
    <t>81-RDEC71E474K0P1H3B</t>
  </si>
  <si>
    <t>0.47uf Multilayer Ceramic Capacitors</t>
  </si>
  <si>
    <t>Digikey</t>
  </si>
  <si>
    <t>Connector Header Through Hole, Right Angle 16 position 0.100" (2.54mm)</t>
  </si>
  <si>
    <t>732-5394-ND</t>
  </si>
  <si>
    <t>CONN HEADER VERT 6POS 2.54MM</t>
  </si>
  <si>
    <t xml:space="preserve">Adafruit Accessories 2.1mm DC Barrel Jack </t>
  </si>
  <si>
    <t>485-373</t>
  </si>
  <si>
    <t xml:space="preserve">Test Leads 20 AWG LEADS </t>
  </si>
  <si>
    <t xml:space="preserve">565-4969 </t>
  </si>
  <si>
    <t>Amazon</t>
  </si>
  <si>
    <t>MCIGICM 10pcs Male Header Pin, 40 Pin Header Strip (2.54 mm)</t>
  </si>
  <si>
    <t>B0CBMMTKVM</t>
  </si>
  <si>
    <t>9V Battery Boxes</t>
  </si>
  <si>
    <t>B07PKKY8BX</t>
  </si>
  <si>
    <t>Lickport Holder</t>
  </si>
  <si>
    <t>Pole</t>
  </si>
  <si>
    <t>Switch Holder</t>
  </si>
  <si>
    <t>WeightingStageTop</t>
  </si>
  <si>
    <t>WeightingStageBottom</t>
  </si>
  <si>
    <t>Pole motor holder</t>
  </si>
  <si>
    <t>Headport.stl</t>
  </si>
  <si>
    <t>Lickport Holder.stl</t>
  </si>
  <si>
    <t>mechanical_pole.stl</t>
  </si>
  <si>
    <t>motor_fix_lickport.stl</t>
  </si>
  <si>
    <t xml:space="preserve">Lickport Motor holder </t>
  </si>
  <si>
    <t>motor_fix_piston.stl</t>
  </si>
  <si>
    <t>Switch_holder.stl</t>
  </si>
  <si>
    <t>Weighting_Stage_Bottom.stl</t>
  </si>
  <si>
    <t>Weighting_Stage_Top.stl</t>
  </si>
  <si>
    <t>Miscellaneous</t>
  </si>
  <si>
    <t>5233K51</t>
  </si>
  <si>
    <t>Clear Masterkleer Soft PVC Plastic Tubing, 1/8" ID, 1/4" OD</t>
  </si>
  <si>
    <t>5233K52</t>
  </si>
  <si>
    <t>Clear Masterkleer Soft PVC Plastic Tubing, 1/16" ID, 1/8" OD</t>
  </si>
  <si>
    <t>8987K47</t>
  </si>
  <si>
    <t>304 Stainless Steel Tubing, 0.05" OD, 0.006" Wall Thickness</t>
  </si>
  <si>
    <t>50315K24</t>
  </si>
  <si>
    <t>Firm Polyurethane Rubber Tubing, 4 mm ID, 6 mm OD, Opaque</t>
  </si>
  <si>
    <t>92196A537</t>
  </si>
  <si>
    <t>18-8 Stainless Steel Socket Head Screw1/4"-20 Thread Size, 1/2" Long</t>
  </si>
  <si>
    <t>91845A029</t>
  </si>
  <si>
    <t>18-8 Stainless Steel Hex Nut, 1/4"-20 Thread Size</t>
  </si>
  <si>
    <t>94323A840</t>
  </si>
  <si>
    <t>Nylon Raised-Head Thumb Screws, 1/4"-20 Thread Size, 3/4"Long</t>
  </si>
  <si>
    <t>90272A357</t>
  </si>
  <si>
    <t xml:space="preserve">Zinc-Plated Steel Pan Head Phillips Screw, 8-32 Thread, 2-1/4" Long </t>
  </si>
  <si>
    <t>5759K36</t>
  </si>
  <si>
    <t>Flexible Magnet with Holding Power on One Face, Rubber Adhesive Back, 1/32" Thick, 3/4" Wide</t>
  </si>
  <si>
    <t>74765A35</t>
  </si>
  <si>
    <t>Instant-Bond Adhesive, Gel, Loctite454, 0.7 FL. oz. Tube</t>
  </si>
  <si>
    <t>76925A5</t>
  </si>
  <si>
    <t>Conductive Aluminum Foil Electrical Tape 2" Wide, 15 Feet Long</t>
  </si>
  <si>
    <t>6-Pack Black 1m 3.3ft BNC Male to BNC Male Jumper Cable with Black Connector</t>
  </si>
  <si>
    <t>B07BHFQT41</t>
  </si>
  <si>
    <t xml:space="preserve">B07BDLZSWR </t>
  </si>
  <si>
    <t xml:space="preserve">5pcs 40cm F/F IDC 2x3 6Pin 2.54mm Cable </t>
  </si>
  <si>
    <t>2-Pack 16" 40cm F/F IDC 2x8 16P 2.54mm cable</t>
  </si>
  <si>
    <t>B07MMBRF48</t>
  </si>
  <si>
    <t>9v Battery</t>
  </si>
  <si>
    <t>Pololu</t>
  </si>
  <si>
    <t xml:space="preserve">Ribbon Cable with Pre-Crimped Terminals 10-Color M-F 6" </t>
  </si>
  <si>
    <t>Ribbon Cable with Pre-Crimped Terminals 10-Color M-M 6"</t>
  </si>
  <si>
    <t>Ribbon Cable with Pre-Crimped Terminals 10-Color F-F 12"</t>
  </si>
  <si>
    <t>Ribbon Cable with Pre-Crimped Terminals 10-Color M-F 12"</t>
  </si>
  <si>
    <t>Ribbon Cable with Pre-Crimped Terminals 10-Color M-M 12"</t>
  </si>
  <si>
    <t>Ribbon Cable with Pre-Crimped Terminals 10-Color F-F 24"</t>
  </si>
  <si>
    <t>Ribbon Cable with Pre-Crimped Terminals 10-Color M-F 24"</t>
  </si>
  <si>
    <t>0.1" (2.54mm) Crimp Connector Housing:1x1-Pin 25-Pack</t>
  </si>
  <si>
    <t>0.1" (2.54mm) Crimp Connector Housing: 1x2-Pin 25-Pack</t>
  </si>
  <si>
    <t>0.1" (2.54mm) Crimp Connector Housing: 1x3-Pin 25-Pack</t>
  </si>
  <si>
    <t>0.1" (2.54mm) Crimp Connector Housing: 1x4-Pin 10-Pack</t>
  </si>
  <si>
    <t>0.1" (2.54mm) Crimp Connector Housing: 1x5-Pin 10-Pack</t>
  </si>
  <si>
    <t>0.1" (2.54mm) Crimp Connector Housing: 1x6-Pin 10-Pack</t>
  </si>
  <si>
    <t xml:space="preserve">B07QGDLJ15 </t>
  </si>
  <si>
    <t xml:space="preserve">Miniature Toggle Switch ON/ON 5A 120V 2A 250V  </t>
  </si>
  <si>
    <t>Gikfun 100 Pairs Suitable for 22AWG Cable Male and Female Pins Connector</t>
  </si>
  <si>
    <t>B0146DJR9Q</t>
  </si>
  <si>
    <t>A364B-4-ND</t>
  </si>
  <si>
    <t>HEATSHRINK 3/64 IN X 4FT BLACK</t>
  </si>
  <si>
    <t>HEATSHRINK 1/16 IN X 4FT BLACK</t>
  </si>
  <si>
    <t>A116B-4-ND</t>
  </si>
  <si>
    <t>A316B-4-ND</t>
  </si>
  <si>
    <t>HEATSHRINK 3/16 IN X 4FT BLACK</t>
  </si>
  <si>
    <t>Cole-Parmer</t>
  </si>
  <si>
    <t>SD/MicroSD Memory Card (8 GB SDHC)</t>
  </si>
  <si>
    <t>18-8 Stainless Steel Pan Head Phillips Screw, 1/4"-20 Thread, 1/2" Long</t>
  </si>
  <si>
    <t>18-8 Stainless Steel Pan Head Phillips Screw, 1/4"-20 Thread, 3/8" Long</t>
  </si>
  <si>
    <t>B0B72DBKVF</t>
  </si>
  <si>
    <t>Optogenetics &amp; Masking LED</t>
  </si>
  <si>
    <t>1N4004DICT-ND</t>
  </si>
  <si>
    <t>DIODE GEN PURP 400V 1A DO41</t>
  </si>
  <si>
    <t>MS2-LR-M5-D6-AR-BAR-B</t>
  </si>
  <si>
    <t>47065T239</t>
  </si>
  <si>
    <t>Silver Corner Bracket, 2" Long for 1" High Rail T-Slotted Framing</t>
  </si>
  <si>
    <t>92311A540</t>
  </si>
  <si>
    <t>18-8 Stainless Steel Cup-Point Set Screw,1/4"-20 Thread, 3/4" Long</t>
  </si>
  <si>
    <t>485-1141</t>
  </si>
  <si>
    <t>485-85</t>
  </si>
  <si>
    <t>485-1294</t>
  </si>
  <si>
    <t>485-380</t>
  </si>
  <si>
    <t>485-935</t>
  </si>
  <si>
    <t>474-SEN-13879</t>
  </si>
  <si>
    <t>732-2099-ND</t>
  </si>
  <si>
    <t>BIBMA</t>
  </si>
  <si>
    <t xml:space="preserve"> 010.5-NRP</t>
  </si>
  <si>
    <t>25-2525-BLACK</t>
  </si>
  <si>
    <t>HARTFIEL AUTOMATION INC</t>
  </si>
  <si>
    <t>8020 parts</t>
  </si>
  <si>
    <t>25-3382</t>
  </si>
  <si>
    <t>25 S 1/4-20 ECONOMY T-NUT [BLACK]</t>
  </si>
  <si>
    <t>20" LONG 25mm Construction Rail with 1/4-20 Tap (25-7061 Left) and Cut to Length(25-7005)</t>
  </si>
  <si>
    <t>9" LONG 25mm Construction Rail with 1/4-20 Tap (25-7061 Left)+ Cut to Length(25-7005)</t>
  </si>
  <si>
    <t>Single-acting pivot (spring-return) non-rotating hexagon rod pneumatic air cylinder - Bimba (Original line air cylinder series) - 7/16" bore (B7/16") - 1/2" stroke (S1/2") - Rear pivot mounting - #10-32 UNF-2A (male) threaded rod + 3/8-24 UNF-2A threaded + 7/16-20 UNF-2 threaded - #10-32 threaded pneumatic port - Stainless steel rod</t>
  </si>
  <si>
    <t>EW-07944-24</t>
  </si>
  <si>
    <t>SYRINGE 30ML LUER-LOK 25/PK</t>
  </si>
  <si>
    <t>EW-50109-75</t>
  </si>
  <si>
    <t>F LUERXBARB 1/16 PP 10/PK</t>
  </si>
  <si>
    <t>NEBA-M12G5-U-2.5-N-LE5</t>
  </si>
  <si>
    <t>https://shop.ifp1.com/products/010.5-NRP</t>
  </si>
  <si>
    <t>for version 1 cage</t>
  </si>
  <si>
    <t>for version 2 cage</t>
  </si>
  <si>
    <t>DAC for Laser</t>
  </si>
  <si>
    <t>Custom-made</t>
  </si>
  <si>
    <t xml:space="preserve">523-31-10-RFX </t>
  </si>
  <si>
    <t xml:space="preserve">RF Connectors / Coaxial Connectors </t>
  </si>
  <si>
    <t>5648K25</t>
  </si>
  <si>
    <t>Firm Polyurethane Tubing for Air and Water 5/32" ID, 1/4" OD, Opaque Green</t>
  </si>
  <si>
    <t>need only 4 for version 2 cage</t>
  </si>
  <si>
    <t xml:space="preserve">water Reservoir </t>
  </si>
  <si>
    <t>home cage</t>
  </si>
  <si>
    <t>47065T821</t>
  </si>
  <si>
    <t>Single 4-Slot Rail, Silver, 1" High x 1" Wide, Solid, 4" Long</t>
  </si>
  <si>
    <t>3035T67</t>
  </si>
  <si>
    <t>Plate for 1/4"-20 Thread Size 1-1/8" ID Aluminum U-Bolt</t>
  </si>
  <si>
    <t>47065T905</t>
  </si>
  <si>
    <t>T-Slotted Framing End-Feed Nut for 1" and 25 mm High Rail, 1/4"-20 Thread</t>
  </si>
  <si>
    <t xml:space="preserve"> </t>
  </si>
  <si>
    <t>Ancare Corp</t>
  </si>
  <si>
    <t>N10HT</t>
  </si>
  <si>
    <t>Hi-Temp Polycarbonate Cage Bottom, Mouse, 11.5" x 7.5" x 5"H</t>
  </si>
  <si>
    <t>N10MBTRH</t>
  </si>
  <si>
    <t>Hi-Temp Polycarbonate Micro-Filter Top with Perforated Retainer, Mouse, REDUCED HEIGHT</t>
  </si>
  <si>
    <t>only need one for version 2 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</si>
</sst>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90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right"/>
    </xf>
    <xf numFmtId="0" fontId="5" fillId="5" borderId="2" xfId="0" applyFont="1" applyFill="1" applyBorder="1" applyAlignment="1">
      <alignment horizontal="center" vertical="center" wrapText="1"/>
    </xf>
    <xf numFmtId="0" fontId="1" fillId="7" borderId="1" xfId="3" applyBorder="1" applyAlignment="1">
      <alignment horizontal="left"/>
    </xf>
    <xf numFmtId="0" fontId="1" fillId="7" borderId="1" xfId="3" applyBorder="1" applyAlignment="1">
      <alignment horizontal="left" vertical="center"/>
    </xf>
    <xf numFmtId="165" fontId="1" fillId="7" borderId="1" xfId="3" applyNumberFormat="1" applyBorder="1" applyAlignment="1">
      <alignment horizontal="right"/>
    </xf>
    <xf numFmtId="164" fontId="1" fillId="7" borderId="1" xfId="3" applyNumberFormat="1" applyBorder="1" applyAlignment="1">
      <alignment vertical="top"/>
    </xf>
    <xf numFmtId="0" fontId="1" fillId="7" borderId="1" xfId="3" applyBorder="1"/>
    <xf numFmtId="0" fontId="1" fillId="7" borderId="1" xfId="3" applyBorder="1" applyAlignment="1">
      <alignment horizontal="left" vertical="top"/>
    </xf>
    <xf numFmtId="0" fontId="1" fillId="7" borderId="1" xfId="3" applyBorder="1" applyAlignment="1">
      <alignment horizontal="right" vertical="top"/>
    </xf>
    <xf numFmtId="0" fontId="4" fillId="0" borderId="1" xfId="0" applyFont="1" applyBorder="1" applyAlignment="1">
      <alignment horizontal="right"/>
    </xf>
    <xf numFmtId="0" fontId="1" fillId="6" borderId="1" xfId="2" applyBorder="1" applyAlignment="1">
      <alignment horizontal="left" vertical="center"/>
    </xf>
    <xf numFmtId="165" fontId="1" fillId="6" borderId="1" xfId="2" applyNumberFormat="1" applyBorder="1" applyAlignment="1">
      <alignment horizontal="right" vertical="center"/>
    </xf>
    <xf numFmtId="164" fontId="1" fillId="6" borderId="1" xfId="2" applyNumberFormat="1" applyBorder="1" applyAlignment="1">
      <alignment vertical="top"/>
    </xf>
    <xf numFmtId="0" fontId="1" fillId="6" borderId="1" xfId="2" applyBorder="1"/>
    <xf numFmtId="0" fontId="1" fillId="6" borderId="1" xfId="2" applyBorder="1" applyAlignment="1">
      <alignment horizontal="left"/>
    </xf>
    <xf numFmtId="165" fontId="1" fillId="6" borderId="1" xfId="2" applyNumberFormat="1" applyBorder="1" applyAlignment="1">
      <alignment horizontal="right"/>
    </xf>
    <xf numFmtId="164" fontId="1" fillId="6" borderId="1" xfId="2" applyNumberFormat="1" applyBorder="1" applyAlignment="1">
      <alignment vertical="top" wrapText="1"/>
    </xf>
    <xf numFmtId="0" fontId="1" fillId="7" borderId="1" xfId="3" applyBorder="1" applyAlignment="1">
      <alignment horizontal="left" vertical="center" wrapText="1"/>
    </xf>
    <xf numFmtId="165" fontId="1" fillId="7" borderId="1" xfId="3" applyNumberFormat="1" applyBorder="1" applyAlignment="1">
      <alignment horizontal="right" vertical="center" wrapText="1"/>
    </xf>
    <xf numFmtId="164" fontId="1" fillId="7" borderId="1" xfId="3" applyNumberFormat="1" applyBorder="1" applyAlignment="1">
      <alignment vertical="top" wrapText="1"/>
    </xf>
    <xf numFmtId="0" fontId="1" fillId="7" borderId="1" xfId="3" applyBorder="1" applyAlignment="1">
      <alignment horizontal="right" vertical="center" wrapText="1"/>
    </xf>
    <xf numFmtId="0" fontId="1" fillId="7" borderId="1" xfId="3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1" fillId="7" borderId="3" xfId="3" applyBorder="1" applyAlignment="1">
      <alignment horizontal="left" vertical="top" wrapText="1"/>
    </xf>
    <xf numFmtId="165" fontId="1" fillId="7" borderId="1" xfId="3" applyNumberFormat="1" applyBorder="1" applyAlignment="1">
      <alignment horizontal="right" vertical="top"/>
    </xf>
    <xf numFmtId="164" fontId="1" fillId="7" borderId="1" xfId="3" applyNumberFormat="1" applyBorder="1" applyAlignment="1">
      <alignment horizontal="right" vertical="top"/>
    </xf>
    <xf numFmtId="165" fontId="1" fillId="7" borderId="1" xfId="3" applyNumberFormat="1" applyBorder="1" applyAlignment="1">
      <alignment horizontal="right" vertical="center"/>
    </xf>
    <xf numFmtId="0" fontId="1" fillId="7" borderId="3" xfId="3" applyBorder="1" applyAlignment="1">
      <alignment horizontal="right" vertical="center" wrapText="1"/>
    </xf>
    <xf numFmtId="0" fontId="1" fillId="7" borderId="4" xfId="3" applyBorder="1" applyAlignment="1">
      <alignment horizontal="right" vertical="center" wrapText="1"/>
    </xf>
    <xf numFmtId="0" fontId="1" fillId="7" borderId="4" xfId="3" applyBorder="1" applyAlignment="1">
      <alignment horizontal="left" vertical="center"/>
    </xf>
    <xf numFmtId="0" fontId="1" fillId="7" borderId="4" xfId="3" applyBorder="1" applyAlignment="1">
      <alignment horizontal="left" vertical="center" wrapText="1"/>
    </xf>
    <xf numFmtId="165" fontId="1" fillId="7" borderId="4" xfId="3" applyNumberFormat="1" applyBorder="1" applyAlignment="1">
      <alignment horizontal="right" vertical="center" wrapText="1"/>
    </xf>
    <xf numFmtId="164" fontId="1" fillId="7" borderId="4" xfId="3" applyNumberFormat="1" applyBorder="1" applyAlignment="1">
      <alignment vertical="top" wrapText="1"/>
    </xf>
    <xf numFmtId="164" fontId="1" fillId="7" borderId="4" xfId="3" applyNumberFormat="1" applyBorder="1" applyAlignment="1">
      <alignment vertical="top"/>
    </xf>
    <xf numFmtId="0" fontId="1" fillId="7" borderId="4" xfId="3" applyBorder="1"/>
    <xf numFmtId="0" fontId="1" fillId="7" borderId="4" xfId="3" applyBorder="1" applyAlignment="1">
      <alignment horizontal="center" vertical="center" wrapText="1"/>
    </xf>
    <xf numFmtId="0" fontId="1" fillId="7" borderId="1" xfId="3" applyBorder="1" applyAlignment="1">
      <alignment horizontal="right" vertical="top" wrapText="1"/>
    </xf>
    <xf numFmtId="164" fontId="1" fillId="7" borderId="8" xfId="3" applyNumberFormat="1" applyBorder="1" applyAlignment="1">
      <alignment vertical="top"/>
    </xf>
    <xf numFmtId="0" fontId="1" fillId="7" borderId="5" xfId="3" applyBorder="1" applyAlignment="1">
      <alignment horizontal="left" vertical="top"/>
    </xf>
    <xf numFmtId="0" fontId="7" fillId="7" borderId="3" xfId="3" applyFont="1" applyBorder="1" applyAlignment="1">
      <alignment horizontal="center" vertical="center" wrapText="1"/>
    </xf>
    <xf numFmtId="0" fontId="1" fillId="6" borderId="1" xfId="2" applyBorder="1" applyAlignment="1">
      <alignment horizontal="left" vertical="center" wrapText="1"/>
    </xf>
    <xf numFmtId="0" fontId="1" fillId="6" borderId="1" xfId="2" applyBorder="1" applyAlignment="1">
      <alignment horizontal="left" vertical="top"/>
    </xf>
    <xf numFmtId="165" fontId="1" fillId="6" borderId="1" xfId="2" applyNumberFormat="1" applyBorder="1" applyAlignment="1">
      <alignment horizontal="right" vertical="center" wrapText="1"/>
    </xf>
    <xf numFmtId="0" fontId="1" fillId="6" borderId="3" xfId="2" applyBorder="1" applyAlignment="1">
      <alignment horizontal="right" vertical="center" wrapText="1"/>
    </xf>
    <xf numFmtId="0" fontId="1" fillId="6" borderId="1" xfId="2" applyBorder="1" applyAlignment="1">
      <alignment horizontal="center" vertical="center" wrapText="1"/>
    </xf>
    <xf numFmtId="0" fontId="1" fillId="6" borderId="0" xfId="2"/>
    <xf numFmtId="0" fontId="1" fillId="6" borderId="5" xfId="2" applyBorder="1" applyAlignment="1">
      <alignment horizontal="left" vertical="center"/>
    </xf>
    <xf numFmtId="0" fontId="1" fillId="6" borderId="2" xfId="2" applyBorder="1" applyAlignment="1">
      <alignment horizontal="right" vertical="center"/>
    </xf>
    <xf numFmtId="0" fontId="1" fillId="6" borderId="1" xfId="2" applyBorder="1" applyAlignment="1">
      <alignment horizontal="right" vertical="center"/>
    </xf>
    <xf numFmtId="0" fontId="1" fillId="7" borderId="5" xfId="3" applyBorder="1" applyAlignment="1">
      <alignment horizontal="left"/>
    </xf>
    <xf numFmtId="0" fontId="1" fillId="7" borderId="0" xfId="3" applyAlignment="1">
      <alignment vertical="center"/>
    </xf>
    <xf numFmtId="0" fontId="1" fillId="7" borderId="1" xfId="3" applyBorder="1" applyAlignment="1">
      <alignment horizontal="right" vertical="center"/>
    </xf>
    <xf numFmtId="0" fontId="1" fillId="6" borderId="1" xfId="2" applyBorder="1" applyAlignment="1">
      <alignment vertical="top"/>
    </xf>
    <xf numFmtId="0" fontId="1" fillId="6" borderId="1" xfId="2" applyBorder="1" applyAlignment="1">
      <alignment wrapText="1"/>
    </xf>
    <xf numFmtId="0" fontId="1" fillId="7" borderId="4" xfId="3" applyBorder="1" applyAlignment="1">
      <alignment horizontal="right" vertical="center"/>
    </xf>
    <xf numFmtId="0" fontId="1" fillId="6" borderId="0" xfId="2" applyAlignment="1">
      <alignment horizontal="left" vertical="top"/>
    </xf>
    <xf numFmtId="0" fontId="1" fillId="7" borderId="1" xfId="3" applyBorder="1" applyAlignment="1">
      <alignment horizontal="right"/>
    </xf>
    <xf numFmtId="0" fontId="1" fillId="7" borderId="0" xfId="3"/>
    <xf numFmtId="0" fontId="1" fillId="7" borderId="1" xfId="3" applyBorder="1" applyAlignment="1">
      <alignment vertical="top"/>
    </xf>
    <xf numFmtId="165" fontId="1" fillId="7" borderId="1" xfId="3" applyNumberFormat="1" applyBorder="1" applyAlignment="1">
      <alignment vertical="top"/>
    </xf>
    <xf numFmtId="0" fontId="1" fillId="7" borderId="1" xfId="3" applyBorder="1" applyAlignment="1">
      <alignment horizontal="left" vertical="top" wrapText="1"/>
    </xf>
    <xf numFmtId="165" fontId="1" fillId="7" borderId="1" xfId="3" applyNumberFormat="1" applyBorder="1" applyAlignment="1">
      <alignment horizontal="right" vertical="top" wrapText="1"/>
    </xf>
    <xf numFmtId="0" fontId="1" fillId="7" borderId="1" xfId="3" applyBorder="1" applyAlignment="1">
      <alignment vertical="top" wrapText="1"/>
    </xf>
    <xf numFmtId="0" fontId="1" fillId="6" borderId="5" xfId="2" applyBorder="1" applyAlignment="1">
      <alignment horizontal="left"/>
    </xf>
    <xf numFmtId="165" fontId="1" fillId="6" borderId="1" xfId="2" applyNumberFormat="1" applyBorder="1" applyAlignment="1">
      <alignment horizontal="right" vertical="top"/>
    </xf>
    <xf numFmtId="0" fontId="7" fillId="6" borderId="3" xfId="2" applyFont="1" applyBorder="1" applyAlignment="1">
      <alignment horizontal="center" vertical="center"/>
    </xf>
    <xf numFmtId="0" fontId="7" fillId="7" borderId="3" xfId="3" applyFont="1" applyBorder="1" applyAlignment="1">
      <alignment horizontal="center" vertical="center"/>
    </xf>
    <xf numFmtId="0" fontId="7" fillId="6" borderId="3" xfId="2" applyFont="1" applyBorder="1" applyAlignment="1">
      <alignment horizontal="center" vertical="center" wrapText="1"/>
    </xf>
    <xf numFmtId="0" fontId="7" fillId="7" borderId="4" xfId="3" applyFont="1" applyBorder="1" applyAlignment="1">
      <alignment horizontal="center" vertical="center"/>
    </xf>
    <xf numFmtId="0" fontId="7" fillId="7" borderId="3" xfId="3" applyFont="1" applyBorder="1" applyAlignment="1">
      <alignment horizontal="left" vertical="top" wrapText="1"/>
    </xf>
    <xf numFmtId="0" fontId="7" fillId="7" borderId="7" xfId="3" applyFont="1" applyBorder="1" applyAlignment="1">
      <alignment horizontal="center" vertical="center" wrapText="1"/>
    </xf>
    <xf numFmtId="0" fontId="7" fillId="6" borderId="4" xfId="2" applyFont="1" applyBorder="1" applyAlignment="1">
      <alignment vertical="center" wrapText="1"/>
    </xf>
    <xf numFmtId="0" fontId="7" fillId="7" borderId="2" xfId="3" applyFont="1" applyBorder="1"/>
    <xf numFmtId="0" fontId="7" fillId="7" borderId="3" xfId="3" applyFont="1" applyBorder="1"/>
    <xf numFmtId="0" fontId="7" fillId="7" borderId="4" xfId="3" applyFont="1" applyBorder="1"/>
    <xf numFmtId="0" fontId="7" fillId="7" borderId="3" xfId="3" applyFont="1" applyBorder="1" applyAlignment="1">
      <alignment vertical="top"/>
    </xf>
    <xf numFmtId="0" fontId="7" fillId="7" borderId="3" xfId="3" applyFont="1" applyBorder="1" applyAlignment="1">
      <alignment horizontal="left" vertical="top"/>
    </xf>
    <xf numFmtId="0" fontId="7" fillId="7" borderId="3" xfId="3" applyFont="1" applyBorder="1" applyAlignment="1">
      <alignment vertical="top" wrapText="1"/>
    </xf>
    <xf numFmtId="0" fontId="5" fillId="0" borderId="1" xfId="0" applyFont="1" applyBorder="1"/>
    <xf numFmtId="0" fontId="7" fillId="7" borderId="6" xfId="3" applyFont="1" applyBorder="1"/>
    <xf numFmtId="0" fontId="7" fillId="7" borderId="7" xfId="3" applyFont="1" applyBorder="1" applyAlignment="1">
      <alignment horizontal="center" vertical="center"/>
    </xf>
    <xf numFmtId="0" fontId="1" fillId="6" borderId="5" xfId="2" applyBorder="1" applyAlignment="1">
      <alignment horizontal="left" vertical="top"/>
    </xf>
    <xf numFmtId="0" fontId="7" fillId="6" borderId="7" xfId="2" applyFont="1" applyBorder="1" applyAlignment="1">
      <alignment horizontal="left" vertical="top"/>
    </xf>
    <xf numFmtId="164" fontId="1" fillId="6" borderId="1" xfId="2" applyNumberFormat="1" applyBorder="1" applyAlignment="1">
      <alignment horizontal="right" vertical="top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6" borderId="2" xfId="2" applyFont="1" applyBorder="1" applyAlignment="1">
      <alignment horizontal="center" vertical="center" wrapText="1"/>
    </xf>
    <xf numFmtId="0" fontId="7" fillId="6" borderId="3" xfId="2" applyFont="1" applyBorder="1" applyAlignment="1">
      <alignment horizontal="center" vertical="center" wrapText="1"/>
    </xf>
    <xf numFmtId="0" fontId="7" fillId="7" borderId="3" xfId="3" applyFont="1" applyBorder="1" applyAlignment="1">
      <alignment horizontal="center" vertical="center"/>
    </xf>
    <xf numFmtId="0" fontId="7" fillId="7" borderId="4" xfId="3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6" borderId="4" xfId="2" applyFont="1" applyBorder="1" applyAlignment="1">
      <alignment horizontal="center" vertical="center" wrapText="1"/>
    </xf>
    <xf numFmtId="0" fontId="7" fillId="7" borderId="2" xfId="3" applyFont="1" applyBorder="1" applyAlignment="1">
      <alignment horizontal="center" vertical="center" wrapText="1"/>
    </xf>
    <xf numFmtId="0" fontId="7" fillId="7" borderId="3" xfId="3" applyFont="1" applyBorder="1" applyAlignment="1">
      <alignment horizontal="center" vertical="center" wrapText="1"/>
    </xf>
    <xf numFmtId="0" fontId="7" fillId="7" borderId="4" xfId="3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0" fontId="7" fillId="6" borderId="1" xfId="2" applyFont="1" applyBorder="1" applyAlignment="1">
      <alignment horizontal="center" vertical="center"/>
    </xf>
    <xf numFmtId="0" fontId="7" fillId="6" borderId="2" xfId="2" applyFont="1" applyBorder="1" applyAlignment="1">
      <alignment horizontal="center" vertical="center"/>
    </xf>
    <xf numFmtId="0" fontId="1" fillId="6" borderId="1" xfId="2" applyBorder="1" applyAlignment="1">
      <alignment horizontal="right" vertical="center" wrapText="1"/>
    </xf>
    <xf numFmtId="8" fontId="1" fillId="7" borderId="2" xfId="3" applyNumberFormat="1" applyBorder="1" applyAlignment="1">
      <alignment horizontal="right" vertical="top"/>
    </xf>
    <xf numFmtId="6" fontId="1" fillId="7" borderId="3" xfId="3" applyNumberFormat="1" applyBorder="1" applyAlignment="1">
      <alignment horizontal="right" vertical="top"/>
    </xf>
    <xf numFmtId="0" fontId="4" fillId="4" borderId="3" xfId="0" applyFont="1" applyFill="1" applyBorder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right" vertical="top" wrapText="1"/>
    </xf>
    <xf numFmtId="0" fontId="1" fillId="7" borderId="2" xfId="3" applyBorder="1" applyAlignment="1">
      <alignment horizontal="center" vertical="center"/>
    </xf>
    <xf numFmtId="0" fontId="1" fillId="7" borderId="4" xfId="3" applyBorder="1" applyAlignment="1">
      <alignment horizontal="center" vertical="center"/>
    </xf>
    <xf numFmtId="0" fontId="1" fillId="6" borderId="2" xfId="2" applyBorder="1" applyAlignment="1">
      <alignment horizontal="center" vertical="center"/>
    </xf>
    <xf numFmtId="0" fontId="1" fillId="6" borderId="3" xfId="2" applyBorder="1" applyAlignment="1">
      <alignment horizontal="center" vertical="center"/>
    </xf>
    <xf numFmtId="0" fontId="1" fillId="6" borderId="4" xfId="2" applyBorder="1" applyAlignment="1">
      <alignment horizontal="center" vertical="center"/>
    </xf>
    <xf numFmtId="0" fontId="1" fillId="7" borderId="2" xfId="3" applyBorder="1" applyAlignment="1">
      <alignment horizontal="center" vertical="center" wrapText="1"/>
    </xf>
    <xf numFmtId="0" fontId="1" fillId="7" borderId="3" xfId="3" applyBorder="1" applyAlignment="1">
      <alignment horizontal="center" vertical="center" wrapText="1"/>
    </xf>
    <xf numFmtId="0" fontId="1" fillId="6" borderId="2" xfId="2" applyBorder="1" applyAlignment="1">
      <alignment horizontal="center" wrapText="1"/>
    </xf>
    <xf numFmtId="0" fontId="1" fillId="6" borderId="4" xfId="2" applyBorder="1" applyAlignment="1">
      <alignment horizontal="center" wrapText="1"/>
    </xf>
    <xf numFmtId="0" fontId="1" fillId="7" borderId="2" xfId="3" applyBorder="1" applyAlignment="1">
      <alignment horizontal="center"/>
    </xf>
    <xf numFmtId="0" fontId="1" fillId="7" borderId="3" xfId="3" applyBorder="1" applyAlignment="1">
      <alignment horizontal="center"/>
    </xf>
    <xf numFmtId="0" fontId="1" fillId="7" borderId="4" xfId="3" applyBorder="1" applyAlignment="1">
      <alignment horizontal="center"/>
    </xf>
    <xf numFmtId="0" fontId="1" fillId="6" borderId="1" xfId="2" applyBorder="1" applyAlignment="1">
      <alignment horizontal="center"/>
    </xf>
    <xf numFmtId="0" fontId="1" fillId="6" borderId="2" xfId="2" applyBorder="1" applyAlignment="1">
      <alignment horizontal="center"/>
    </xf>
    <xf numFmtId="0" fontId="1" fillId="6" borderId="3" xfId="2" applyBorder="1" applyAlignment="1">
      <alignment horizontal="center"/>
    </xf>
    <xf numFmtId="0" fontId="1" fillId="6" borderId="4" xfId="2" applyBorder="1" applyAlignment="1">
      <alignment horizontal="center"/>
    </xf>
    <xf numFmtId="0" fontId="1" fillId="7" borderId="2" xfId="3" applyBorder="1" applyAlignment="1">
      <alignment horizontal="center" vertical="center" wrapText="1"/>
    </xf>
    <xf numFmtId="0" fontId="7" fillId="7" borderId="9" xfId="3" applyFont="1" applyBorder="1" applyAlignment="1">
      <alignment horizontal="center" vertical="center" wrapText="1"/>
    </xf>
    <xf numFmtId="0" fontId="7" fillId="7" borderId="0" xfId="3" applyFont="1" applyBorder="1" applyAlignment="1">
      <alignment horizontal="center" vertical="center" wrapText="1"/>
    </xf>
    <xf numFmtId="0" fontId="7" fillId="7" borderId="12" xfId="3" applyFont="1" applyBorder="1" applyAlignment="1">
      <alignment horizontal="center" vertical="center" wrapText="1"/>
    </xf>
    <xf numFmtId="0" fontId="1" fillId="6" borderId="5" xfId="2" applyBorder="1" applyAlignment="1">
      <alignment vertical="top"/>
    </xf>
    <xf numFmtId="165" fontId="1" fillId="6" borderId="1" xfId="2" applyNumberFormat="1" applyBorder="1" applyAlignment="1">
      <alignment vertical="top"/>
    </xf>
    <xf numFmtId="0" fontId="1" fillId="7" borderId="9" xfId="3" applyBorder="1" applyAlignment="1"/>
    <xf numFmtId="0" fontId="1" fillId="7" borderId="0" xfId="3" applyBorder="1" applyAlignment="1"/>
    <xf numFmtId="0" fontId="1" fillId="7" borderId="12" xfId="3" applyBorder="1" applyAlignment="1"/>
    <xf numFmtId="0" fontId="1" fillId="7" borderId="1" xfId="3" applyBorder="1" applyAlignment="1"/>
    <xf numFmtId="0" fontId="7" fillId="7" borderId="10" xfId="3" applyFont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1" fillId="7" borderId="2" xfId="3" applyBorder="1" applyAlignment="1">
      <alignment horizontal="left"/>
    </xf>
    <xf numFmtId="0" fontId="7" fillId="7" borderId="11" xfId="3" applyFont="1" applyBorder="1" applyAlignment="1">
      <alignment horizontal="center" vertical="center"/>
    </xf>
    <xf numFmtId="0" fontId="1" fillId="7" borderId="4" xfId="3" applyBorder="1" applyAlignment="1">
      <alignment horizontal="left"/>
    </xf>
    <xf numFmtId="0" fontId="2" fillId="3" borderId="2" xfId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vertical="top"/>
    </xf>
    <xf numFmtId="0" fontId="2" fillId="3" borderId="2" xfId="1" applyFont="1" applyFill="1" applyBorder="1" applyAlignment="1">
      <alignment horizontal="right" vertical="center"/>
    </xf>
    <xf numFmtId="0" fontId="4" fillId="0" borderId="2" xfId="0" applyFont="1" applyBorder="1"/>
    <xf numFmtId="165" fontId="1" fillId="7" borderId="4" xfId="3" applyNumberFormat="1" applyBorder="1" applyAlignment="1">
      <alignment horizontal="right"/>
    </xf>
    <xf numFmtId="8" fontId="1" fillId="7" borderId="4" xfId="3" applyNumberFormat="1" applyBorder="1" applyAlignment="1">
      <alignment horizontal="right" vertical="top"/>
    </xf>
    <xf numFmtId="0" fontId="1" fillId="7" borderId="1" xfId="3" applyBorder="1" applyAlignment="1">
      <alignment horizontal="right" vertical="top"/>
    </xf>
    <xf numFmtId="0" fontId="1" fillId="7" borderId="2" xfId="3" applyBorder="1" applyAlignment="1">
      <alignment horizontal="left" vertical="center" wrapText="1"/>
    </xf>
    <xf numFmtId="165" fontId="1" fillId="7" borderId="2" xfId="3" applyNumberFormat="1" applyBorder="1" applyAlignment="1">
      <alignment horizontal="right" vertical="center" wrapText="1"/>
    </xf>
    <xf numFmtId="164" fontId="1" fillId="7" borderId="2" xfId="3" applyNumberFormat="1" applyBorder="1" applyAlignment="1">
      <alignment vertical="top" wrapText="1"/>
    </xf>
    <xf numFmtId="164" fontId="1" fillId="7" borderId="10" xfId="3" applyNumberFormat="1" applyBorder="1" applyAlignment="1">
      <alignment vertical="top"/>
    </xf>
    <xf numFmtId="0" fontId="1" fillId="7" borderId="2" xfId="3" applyBorder="1"/>
    <xf numFmtId="165" fontId="1" fillId="7" borderId="4" xfId="3" applyNumberFormat="1" applyBorder="1" applyAlignment="1">
      <alignment horizontal="right" vertical="center"/>
    </xf>
    <xf numFmtId="0" fontId="1" fillId="7" borderId="4" xfId="3" applyBorder="1" applyAlignment="1">
      <alignment horizontal="center" vertical="center"/>
    </xf>
    <xf numFmtId="165" fontId="1" fillId="7" borderId="2" xfId="3" applyNumberFormat="1" applyBorder="1" applyAlignment="1">
      <alignment horizontal="right"/>
    </xf>
    <xf numFmtId="164" fontId="1" fillId="7" borderId="2" xfId="3" applyNumberFormat="1" applyBorder="1" applyAlignment="1">
      <alignment vertical="top"/>
    </xf>
    <xf numFmtId="0" fontId="7" fillId="6" borderId="3" xfId="2" applyFont="1" applyBorder="1" applyAlignment="1">
      <alignment horizontal="center" vertical="top" wrapText="1"/>
    </xf>
    <xf numFmtId="0" fontId="1" fillId="6" borderId="13" xfId="2" applyBorder="1" applyAlignment="1">
      <alignment horizontal="left" vertical="top" wrapText="1"/>
    </xf>
    <xf numFmtId="0" fontId="1" fillId="6" borderId="4" xfId="2" applyBorder="1" applyAlignment="1">
      <alignment horizontal="left" vertical="top" wrapText="1"/>
    </xf>
    <xf numFmtId="165" fontId="1" fillId="6" borderId="4" xfId="2" applyNumberFormat="1" applyBorder="1" applyAlignment="1">
      <alignment horizontal="right" vertical="top" wrapText="1"/>
    </xf>
    <xf numFmtId="164" fontId="1" fillId="6" borderId="4" xfId="2" applyNumberFormat="1" applyBorder="1" applyAlignment="1">
      <alignment vertical="top" wrapText="1"/>
    </xf>
    <xf numFmtId="164" fontId="1" fillId="6" borderId="4" xfId="2" applyNumberFormat="1" applyBorder="1" applyAlignment="1">
      <alignment vertical="top"/>
    </xf>
    <xf numFmtId="0" fontId="1" fillId="6" borderId="4" xfId="2" applyBorder="1" applyAlignment="1">
      <alignment horizontal="right" vertical="top"/>
    </xf>
    <xf numFmtId="0" fontId="1" fillId="6" borderId="4" xfId="2" applyBorder="1" applyAlignment="1">
      <alignment horizontal="center" vertical="top" wrapText="1"/>
    </xf>
    <xf numFmtId="164" fontId="1" fillId="7" borderId="1" xfId="3" applyNumberFormat="1" applyBorder="1" applyAlignment="1">
      <alignment horizontal="right" vertical="top" wrapText="1"/>
    </xf>
    <xf numFmtId="0" fontId="1" fillId="7" borderId="4" xfId="3" applyBorder="1" applyAlignment="1">
      <alignment horizontal="center" vertical="center" wrapText="1"/>
    </xf>
    <xf numFmtId="0" fontId="1" fillId="6" borderId="4" xfId="2" applyBorder="1" applyAlignment="1">
      <alignment horizontal="left"/>
    </xf>
    <xf numFmtId="0" fontId="1" fillId="6" borderId="4" xfId="2" applyBorder="1"/>
    <xf numFmtId="0" fontId="1" fillId="6" borderId="4" xfId="2" applyBorder="1" applyAlignment="1">
      <alignment horizontal="left" vertical="center"/>
    </xf>
    <xf numFmtId="165" fontId="1" fillId="6" borderId="4" xfId="2" applyNumberFormat="1" applyBorder="1" applyAlignment="1">
      <alignment horizontal="right"/>
    </xf>
    <xf numFmtId="0" fontId="1" fillId="6" borderId="2" xfId="2" applyBorder="1" applyAlignment="1">
      <alignment horizontal="right"/>
    </xf>
    <xf numFmtId="0" fontId="1" fillId="7" borderId="6" xfId="3" applyBorder="1" applyAlignment="1">
      <alignment horizontal="left"/>
    </xf>
    <xf numFmtId="0" fontId="1" fillId="7" borderId="2" xfId="3" applyBorder="1" applyAlignment="1">
      <alignment horizontal="left" vertical="center"/>
    </xf>
    <xf numFmtId="0" fontId="1" fillId="7" borderId="13" xfId="3" applyBorder="1" applyAlignment="1">
      <alignment horizontal="left"/>
    </xf>
    <xf numFmtId="0" fontId="7" fillId="7" borderId="1" xfId="3" applyFont="1" applyBorder="1"/>
    <xf numFmtId="0" fontId="1" fillId="7" borderId="5" xfId="3" applyBorder="1" applyAlignment="1">
      <alignment horizontal="left" vertical="center" wrapText="1"/>
    </xf>
    <xf numFmtId="164" fontId="1" fillId="7" borderId="14" xfId="3" applyNumberFormat="1" applyBorder="1" applyAlignment="1">
      <alignment vertical="top"/>
    </xf>
    <xf numFmtId="0" fontId="1" fillId="7" borderId="2" xfId="3" applyBorder="1" applyAlignment="1">
      <alignment horizontal="right" vertical="top"/>
    </xf>
    <xf numFmtId="0" fontId="1" fillId="7" borderId="3" xfId="3" applyBorder="1" applyAlignment="1">
      <alignment horizontal="right" vertical="top"/>
    </xf>
    <xf numFmtId="8" fontId="1" fillId="7" borderId="3" xfId="3" applyNumberFormat="1" applyBorder="1" applyAlignment="1">
      <alignment horizontal="right" vertical="top"/>
    </xf>
  </cellXfs>
  <cellStyles count="4">
    <cellStyle name="40% - Accent1" xfId="2" builtinId="31"/>
    <cellStyle name="40% - Accent2" xfId="3" builtinId="35"/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.ifp1.com/products/010.5-N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7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9.140625" defaultRowHeight="15" x14ac:dyDescent="0.25"/>
  <cols>
    <col min="1" max="1" width="18" style="85" bestFit="1" customWidth="1"/>
    <col min="2" max="2" width="26.5703125" style="2" customWidth="1"/>
    <col min="3" max="3" width="18.5703125" style="2" customWidth="1"/>
    <col min="4" max="4" width="63.140625" style="3" customWidth="1"/>
    <col min="5" max="5" width="13" style="5" customWidth="1"/>
    <col min="6" max="6" width="9.85546875" style="4" customWidth="1"/>
    <col min="7" max="7" width="10.140625" style="4" bestFit="1" customWidth="1"/>
    <col min="8" max="8" width="43.42578125" style="14" customWidth="1"/>
    <col min="38" max="16384" width="9.140625" style="1"/>
  </cols>
  <sheetData>
    <row r="1" spans="1:37" s="153" customFormat="1" x14ac:dyDescent="0.25">
      <c r="A1" s="149" t="s">
        <v>0</v>
      </c>
      <c r="B1" s="145" t="s">
        <v>1</v>
      </c>
      <c r="C1" s="145" t="s">
        <v>2</v>
      </c>
      <c r="D1" s="145" t="s">
        <v>3</v>
      </c>
      <c r="E1" s="150" t="s">
        <v>4</v>
      </c>
      <c r="F1" s="151" t="s">
        <v>5</v>
      </c>
      <c r="G1" s="151" t="s">
        <v>6</v>
      </c>
      <c r="H1" s="152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s="11" customFormat="1" x14ac:dyDescent="0.25">
      <c r="A2" s="144" t="s">
        <v>80</v>
      </c>
      <c r="B2" s="7" t="s">
        <v>13</v>
      </c>
      <c r="C2" s="7" t="s">
        <v>60</v>
      </c>
      <c r="D2" s="8" t="s">
        <v>61</v>
      </c>
      <c r="E2" s="9">
        <f>1/2+2/3</f>
        <v>1.1666666666666665</v>
      </c>
      <c r="F2" s="10">
        <v>45.58</v>
      </c>
      <c r="G2" s="10">
        <f t="shared" ref="G2:G11" si="0">E2*F2</f>
        <v>53.176666666666655</v>
      </c>
      <c r="H2" s="156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pans="1:37" s="11" customFormat="1" x14ac:dyDescent="0.25">
      <c r="A3" s="147"/>
      <c r="B3" s="7" t="s">
        <v>13</v>
      </c>
      <c r="C3" s="7" t="s">
        <v>62</v>
      </c>
      <c r="D3" s="8" t="s">
        <v>63</v>
      </c>
      <c r="E3" s="9">
        <f>1/4</f>
        <v>0.25</v>
      </c>
      <c r="F3" s="10">
        <v>83.02</v>
      </c>
      <c r="G3" s="10">
        <f t="shared" si="0"/>
        <v>20.754999999999999</v>
      </c>
      <c r="H3" s="187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7" s="41" customFormat="1" x14ac:dyDescent="0.25">
      <c r="A4" s="99"/>
      <c r="B4" s="148" t="s">
        <v>257</v>
      </c>
      <c r="C4" s="148" t="s">
        <v>256</v>
      </c>
      <c r="D4" s="36" t="s">
        <v>261</v>
      </c>
      <c r="E4" s="154">
        <v>2</v>
      </c>
      <c r="F4" s="40">
        <v>12.7</v>
      </c>
      <c r="G4" s="186">
        <f t="shared" si="0"/>
        <v>25.4</v>
      </c>
      <c r="H4" s="113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pans="1:37" s="11" customFormat="1" x14ac:dyDescent="0.25">
      <c r="A5" s="99"/>
      <c r="B5" s="7" t="s">
        <v>257</v>
      </c>
      <c r="C5" s="7" t="s">
        <v>256</v>
      </c>
      <c r="D5" s="8" t="s">
        <v>262</v>
      </c>
      <c r="E5" s="9">
        <v>6</v>
      </c>
      <c r="F5" s="10">
        <v>8.43</v>
      </c>
      <c r="G5" s="44">
        <f t="shared" si="0"/>
        <v>50.58</v>
      </c>
      <c r="H5" s="189" t="s">
        <v>258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s="11" customFormat="1" x14ac:dyDescent="0.25">
      <c r="A6" s="99"/>
      <c r="B6" s="7" t="s">
        <v>257</v>
      </c>
      <c r="C6" s="7" t="s">
        <v>259</v>
      </c>
      <c r="D6" s="8" t="s">
        <v>260</v>
      </c>
      <c r="E6" s="9">
        <v>16</v>
      </c>
      <c r="F6" s="10">
        <v>0.37</v>
      </c>
      <c r="G6" s="44">
        <f t="shared" si="0"/>
        <v>5.92</v>
      </c>
      <c r="H6" s="155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s="11" customFormat="1" x14ac:dyDescent="0.25">
      <c r="A7" s="99"/>
      <c r="B7" s="7" t="s">
        <v>13</v>
      </c>
      <c r="C7" s="7" t="s">
        <v>245</v>
      </c>
      <c r="D7" s="12" t="s">
        <v>246</v>
      </c>
      <c r="E7" s="9">
        <f>6/50</f>
        <v>0.12</v>
      </c>
      <c r="F7" s="10">
        <v>10.77</v>
      </c>
      <c r="G7" s="44">
        <f t="shared" si="0"/>
        <v>1.2924</v>
      </c>
      <c r="H7" s="188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s="11" customFormat="1" x14ac:dyDescent="0.25">
      <c r="A8" s="100"/>
      <c r="B8" s="7" t="s">
        <v>13</v>
      </c>
      <c r="C8" s="7" t="s">
        <v>243</v>
      </c>
      <c r="D8" s="8" t="s">
        <v>244</v>
      </c>
      <c r="E8" s="9">
        <v>2</v>
      </c>
      <c r="F8" s="10">
        <v>8.5399999999999991</v>
      </c>
      <c r="G8" s="44">
        <f t="shared" si="0"/>
        <v>17.079999999999998</v>
      </c>
      <c r="H8" s="11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s="18" customFormat="1" ht="15" customHeight="1" x14ac:dyDescent="0.25">
      <c r="A9" s="101" t="s">
        <v>12</v>
      </c>
      <c r="B9" s="15" t="s">
        <v>13</v>
      </c>
      <c r="C9" s="15" t="s">
        <v>14</v>
      </c>
      <c r="D9" s="15" t="s">
        <v>15</v>
      </c>
      <c r="E9" s="16">
        <v>2</v>
      </c>
      <c r="F9" s="17">
        <v>85.48</v>
      </c>
      <c r="G9" s="17">
        <f t="shared" si="0"/>
        <v>170.96</v>
      </c>
      <c r="H9" s="117" t="s">
        <v>74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s="18" customFormat="1" x14ac:dyDescent="0.25">
      <c r="A10" s="102"/>
      <c r="B10" s="15" t="s">
        <v>13</v>
      </c>
      <c r="C10" s="15" t="s">
        <v>16</v>
      </c>
      <c r="D10" s="15" t="s">
        <v>17</v>
      </c>
      <c r="E10" s="16">
        <v>2</v>
      </c>
      <c r="F10" s="17">
        <v>3.55</v>
      </c>
      <c r="G10" s="17">
        <f t="shared" si="0"/>
        <v>7.1</v>
      </c>
      <c r="H10" s="1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s="18" customFormat="1" x14ac:dyDescent="0.25">
      <c r="A11" s="102"/>
      <c r="B11" s="15" t="s">
        <v>13</v>
      </c>
      <c r="C11" s="15" t="s">
        <v>18</v>
      </c>
      <c r="D11" s="15" t="s">
        <v>19</v>
      </c>
      <c r="E11" s="16">
        <v>3</v>
      </c>
      <c r="F11" s="17">
        <v>5.77</v>
      </c>
      <c r="G11" s="17">
        <f t="shared" si="0"/>
        <v>17.309999999999999</v>
      </c>
      <c r="H11" s="1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s="18" customFormat="1" x14ac:dyDescent="0.25">
      <c r="A12" s="102"/>
      <c r="B12" s="15" t="s">
        <v>13</v>
      </c>
      <c r="C12" s="15" t="s">
        <v>20</v>
      </c>
      <c r="D12" s="15" t="s">
        <v>21</v>
      </c>
      <c r="E12" s="16">
        <v>1</v>
      </c>
      <c r="F12" s="17">
        <v>6.7</v>
      </c>
      <c r="G12" s="17">
        <f t="shared" ref="G12:G77" si="1">E12*F12</f>
        <v>6.7</v>
      </c>
      <c r="H12" s="1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s="18" customFormat="1" x14ac:dyDescent="0.25">
      <c r="A13" s="102"/>
      <c r="B13" s="15" t="s">
        <v>22</v>
      </c>
      <c r="C13" s="15">
        <v>557773</v>
      </c>
      <c r="D13" s="15" t="s">
        <v>23</v>
      </c>
      <c r="E13" s="16">
        <v>1</v>
      </c>
      <c r="F13" s="17">
        <v>725.11</v>
      </c>
      <c r="G13" s="17">
        <f t="shared" si="1"/>
        <v>725.11</v>
      </c>
      <c r="H13" s="27" t="s">
        <v>71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 spans="1:37" s="18" customFormat="1" x14ac:dyDescent="0.25">
      <c r="A14" s="102"/>
      <c r="B14" s="15" t="s">
        <v>22</v>
      </c>
      <c r="C14" s="15">
        <v>8078242</v>
      </c>
      <c r="D14" s="15" t="s">
        <v>268</v>
      </c>
      <c r="E14" s="16">
        <v>1</v>
      </c>
      <c r="F14" s="17">
        <v>20.22</v>
      </c>
      <c r="G14" s="17">
        <f t="shared" si="1"/>
        <v>20.22</v>
      </c>
      <c r="H14" s="2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 spans="1:37" s="18" customFormat="1" x14ac:dyDescent="0.25">
      <c r="A15" s="102"/>
      <c r="B15" s="15" t="s">
        <v>13</v>
      </c>
      <c r="C15" s="15" t="s">
        <v>24</v>
      </c>
      <c r="D15" s="15" t="s">
        <v>25</v>
      </c>
      <c r="E15" s="16">
        <v>1</v>
      </c>
      <c r="F15" s="17">
        <v>6.77</v>
      </c>
      <c r="G15" s="17">
        <f t="shared" si="1"/>
        <v>6.77</v>
      </c>
      <c r="H15" s="2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37" s="18" customFormat="1" x14ac:dyDescent="0.25">
      <c r="A16" s="102"/>
      <c r="B16" s="15" t="s">
        <v>13</v>
      </c>
      <c r="C16" s="15" t="s">
        <v>26</v>
      </c>
      <c r="D16" s="15" t="s">
        <v>27</v>
      </c>
      <c r="E16" s="16">
        <v>1</v>
      </c>
      <c r="F16" s="17">
        <v>7.95</v>
      </c>
      <c r="G16" s="17">
        <f t="shared" si="1"/>
        <v>7.95</v>
      </c>
      <c r="H16" s="2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 spans="1:37" s="18" customFormat="1" x14ac:dyDescent="0.25">
      <c r="A17" s="102"/>
      <c r="B17" s="15" t="s">
        <v>13</v>
      </c>
      <c r="C17" s="15" t="s">
        <v>28</v>
      </c>
      <c r="D17" s="15" t="s">
        <v>29</v>
      </c>
      <c r="E17" s="16">
        <v>1</v>
      </c>
      <c r="F17" s="17">
        <v>2.63</v>
      </c>
      <c r="G17" s="17">
        <f t="shared" si="1"/>
        <v>2.63</v>
      </c>
      <c r="H17" s="2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 spans="1:37" s="18" customFormat="1" x14ac:dyDescent="0.25">
      <c r="A18" s="103"/>
      <c r="B18" s="15" t="s">
        <v>13</v>
      </c>
      <c r="C18" s="19" t="s">
        <v>195</v>
      </c>
      <c r="D18" s="15" t="s">
        <v>196</v>
      </c>
      <c r="E18" s="20">
        <f>2/25</f>
        <v>0.08</v>
      </c>
      <c r="F18" s="21">
        <v>8.6</v>
      </c>
      <c r="G18" s="21">
        <f>E18*F18</f>
        <v>0.68799999999999994</v>
      </c>
      <c r="H18" s="2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 spans="1:37" s="26" customFormat="1" x14ac:dyDescent="0.25">
      <c r="A19" s="6"/>
      <c r="B19" s="8" t="s">
        <v>22</v>
      </c>
      <c r="C19" s="22">
        <v>196847</v>
      </c>
      <c r="D19" s="22" t="s">
        <v>45</v>
      </c>
      <c r="E19" s="23">
        <v>1</v>
      </c>
      <c r="F19" s="24">
        <v>196</v>
      </c>
      <c r="G19" s="10">
        <f>E19*F19</f>
        <v>196</v>
      </c>
      <c r="H19" s="25" t="s">
        <v>46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37" s="12" customFormat="1" x14ac:dyDescent="0.25">
      <c r="A20" s="76"/>
      <c r="B20" s="45" t="s">
        <v>254</v>
      </c>
      <c r="C20" s="12" t="s">
        <v>255</v>
      </c>
      <c r="D20" s="12" t="s">
        <v>263</v>
      </c>
      <c r="E20" s="31">
        <v>1</v>
      </c>
      <c r="F20" s="32">
        <v>34.97</v>
      </c>
      <c r="G20" s="32">
        <f t="shared" ref="G20" si="2">E20*F20</f>
        <v>34.97</v>
      </c>
      <c r="H20" s="43" t="s">
        <v>269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 spans="1:37" s="42" customFormat="1" x14ac:dyDescent="0.25">
      <c r="A21" s="46"/>
      <c r="B21" s="36" t="s">
        <v>13</v>
      </c>
      <c r="C21" s="37" t="s">
        <v>114</v>
      </c>
      <c r="D21" s="37" t="s">
        <v>115</v>
      </c>
      <c r="E21" s="38">
        <f>2/100</f>
        <v>0.02</v>
      </c>
      <c r="F21" s="39">
        <v>8.52</v>
      </c>
      <c r="G21" s="40">
        <f>E21*F21</f>
        <v>0.1704</v>
      </c>
      <c r="H21" s="3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37" s="26" customFormat="1" x14ac:dyDescent="0.25">
      <c r="A22" s="46"/>
      <c r="B22" s="22" t="s">
        <v>13</v>
      </c>
      <c r="C22" s="22" t="s">
        <v>47</v>
      </c>
      <c r="D22" s="22" t="s">
        <v>48</v>
      </c>
      <c r="E22" s="23">
        <v>2</v>
      </c>
      <c r="F22" s="24">
        <v>15.1</v>
      </c>
      <c r="G22" s="10">
        <f t="shared" ref="G22:G29" si="3">E22*F22</f>
        <v>30.2</v>
      </c>
      <c r="H22" s="3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37" s="134" customFormat="1" x14ac:dyDescent="0.25">
      <c r="A23" s="46" t="s">
        <v>44</v>
      </c>
      <c r="B23" s="157" t="s">
        <v>22</v>
      </c>
      <c r="C23" s="157">
        <v>153023</v>
      </c>
      <c r="D23" s="157" t="s">
        <v>49</v>
      </c>
      <c r="E23" s="158">
        <f>1/10</f>
        <v>0.1</v>
      </c>
      <c r="F23" s="159">
        <v>38.799999999999997</v>
      </c>
      <c r="G23" s="160">
        <f t="shared" si="3"/>
        <v>3.88</v>
      </c>
      <c r="H23" s="3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37" s="26" customFormat="1" x14ac:dyDescent="0.25">
      <c r="A24" s="77"/>
      <c r="B24" s="185" t="s">
        <v>22</v>
      </c>
      <c r="C24" s="22">
        <v>153321</v>
      </c>
      <c r="D24" s="22" t="s">
        <v>50</v>
      </c>
      <c r="E24" s="23">
        <f>1/10</f>
        <v>0.1</v>
      </c>
      <c r="F24" s="24">
        <v>24.6</v>
      </c>
      <c r="G24" s="10">
        <f t="shared" si="3"/>
        <v>2.4600000000000004</v>
      </c>
      <c r="H24" s="2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 spans="1:37" s="163" customFormat="1" x14ac:dyDescent="0.25">
      <c r="A25" s="46"/>
      <c r="B25" s="36" t="s">
        <v>13</v>
      </c>
      <c r="C25" s="36" t="s">
        <v>51</v>
      </c>
      <c r="D25" s="36" t="s">
        <v>84</v>
      </c>
      <c r="E25" s="162">
        <v>1</v>
      </c>
      <c r="F25" s="40">
        <v>7.28</v>
      </c>
      <c r="G25" s="40">
        <f t="shared" si="3"/>
        <v>7.28</v>
      </c>
      <c r="H25" s="3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 s="26" customFormat="1" x14ac:dyDescent="0.25">
      <c r="A26" s="46"/>
      <c r="B26" s="22" t="s">
        <v>22</v>
      </c>
      <c r="C26" s="22">
        <v>8086628</v>
      </c>
      <c r="D26" s="22" t="s">
        <v>242</v>
      </c>
      <c r="E26" s="23">
        <v>1</v>
      </c>
      <c r="F26" s="24">
        <v>36.26</v>
      </c>
      <c r="G26" s="10">
        <f t="shared" si="3"/>
        <v>36.26</v>
      </c>
      <c r="H26" s="3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7" s="26" customFormat="1" x14ac:dyDescent="0.25">
      <c r="A27" s="46"/>
      <c r="B27" s="22" t="s">
        <v>13</v>
      </c>
      <c r="C27" s="22" t="s">
        <v>52</v>
      </c>
      <c r="D27" s="22" t="s">
        <v>53</v>
      </c>
      <c r="E27" s="23">
        <v>2</v>
      </c>
      <c r="F27" s="24">
        <v>2.29</v>
      </c>
      <c r="G27" s="10">
        <f t="shared" si="3"/>
        <v>4.58</v>
      </c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37" s="51" customFormat="1" x14ac:dyDescent="0.25">
      <c r="A28" s="97" t="s">
        <v>30</v>
      </c>
      <c r="B28" s="47" t="s">
        <v>13</v>
      </c>
      <c r="C28" s="47" t="s">
        <v>118</v>
      </c>
      <c r="D28" s="48" t="s">
        <v>119</v>
      </c>
      <c r="E28" s="49">
        <f>4/100</f>
        <v>0.04</v>
      </c>
      <c r="F28" s="21">
        <v>9.51</v>
      </c>
      <c r="G28" s="17">
        <f t="shared" si="3"/>
        <v>0.38040000000000002</v>
      </c>
      <c r="H28" s="5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s="51" customFormat="1" x14ac:dyDescent="0.25">
      <c r="A29" s="98"/>
      <c r="B29" s="47" t="s">
        <v>13</v>
      </c>
      <c r="C29" s="52" t="s">
        <v>120</v>
      </c>
      <c r="D29" s="47" t="s">
        <v>121</v>
      </c>
      <c r="E29" s="49">
        <f>4/100</f>
        <v>0.04</v>
      </c>
      <c r="F29" s="21">
        <v>1.43</v>
      </c>
      <c r="G29" s="17">
        <f t="shared" si="3"/>
        <v>5.7200000000000001E-2</v>
      </c>
      <c r="H29" s="5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s="18" customFormat="1" x14ac:dyDescent="0.25">
      <c r="A30" s="104"/>
      <c r="B30" s="53" t="s">
        <v>37</v>
      </c>
      <c r="C30" s="15" t="s">
        <v>116</v>
      </c>
      <c r="D30" s="15" t="s">
        <v>117</v>
      </c>
      <c r="E30" s="16">
        <v>2</v>
      </c>
      <c r="F30" s="17">
        <v>5.74</v>
      </c>
      <c r="G30" s="17">
        <f t="shared" si="1"/>
        <v>11.48</v>
      </c>
      <c r="H30" s="54" t="s">
        <v>77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s="11" customFormat="1" x14ac:dyDescent="0.25">
      <c r="A31" s="105" t="s">
        <v>31</v>
      </c>
      <c r="B31" s="8" t="s">
        <v>122</v>
      </c>
      <c r="C31" s="8" t="s">
        <v>82</v>
      </c>
      <c r="D31" s="8" t="s">
        <v>81</v>
      </c>
      <c r="E31" s="33">
        <v>1</v>
      </c>
      <c r="F31" s="10">
        <v>7</v>
      </c>
      <c r="G31" s="10">
        <f t="shared" si="1"/>
        <v>7</v>
      </c>
      <c r="H31" s="58" t="s">
        <v>75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s="11" customFormat="1" x14ac:dyDescent="0.25">
      <c r="A32" s="106"/>
      <c r="B32" s="8" t="s">
        <v>37</v>
      </c>
      <c r="C32" s="8" t="s">
        <v>252</v>
      </c>
      <c r="D32" s="8" t="s">
        <v>32</v>
      </c>
      <c r="E32" s="33">
        <v>1</v>
      </c>
      <c r="F32" s="10">
        <v>10.65</v>
      </c>
      <c r="G32" s="10">
        <f t="shared" si="1"/>
        <v>10.65</v>
      </c>
      <c r="H32" s="58" t="s">
        <v>76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s="11" customFormat="1" x14ac:dyDescent="0.25">
      <c r="A33" s="106"/>
      <c r="B33" s="8" t="s">
        <v>13</v>
      </c>
      <c r="C33" s="8" t="s">
        <v>125</v>
      </c>
      <c r="D33" s="8" t="s">
        <v>126</v>
      </c>
      <c r="E33" s="33">
        <v>0.1111111111111111</v>
      </c>
      <c r="F33" s="10">
        <v>4.51</v>
      </c>
      <c r="G33" s="10">
        <f t="shared" si="1"/>
        <v>0.50111111111111106</v>
      </c>
      <c r="H33" s="1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11" customFormat="1" x14ac:dyDescent="0.25">
      <c r="A34" s="107"/>
      <c r="B34" s="8" t="s">
        <v>13</v>
      </c>
      <c r="C34" s="8" t="s">
        <v>123</v>
      </c>
      <c r="D34" s="8" t="s">
        <v>124</v>
      </c>
      <c r="E34" s="33">
        <f>4/50</f>
        <v>0.08</v>
      </c>
      <c r="F34" s="10">
        <v>10.029999999999999</v>
      </c>
      <c r="G34" s="10">
        <f t="shared" si="1"/>
        <v>0.8024</v>
      </c>
      <c r="H34" s="1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18" customFormat="1" ht="14.45" customHeight="1" x14ac:dyDescent="0.25">
      <c r="A35" s="101" t="s">
        <v>8</v>
      </c>
      <c r="B35" s="53" t="s">
        <v>9</v>
      </c>
      <c r="C35" s="15" t="s">
        <v>10</v>
      </c>
      <c r="D35" s="15" t="s">
        <v>11</v>
      </c>
      <c r="E35" s="16">
        <v>1</v>
      </c>
      <c r="F35" s="17">
        <v>90</v>
      </c>
      <c r="G35" s="17">
        <f t="shared" ref="G35:G42" si="4">E35*F35</f>
        <v>90</v>
      </c>
      <c r="H35" s="55" t="s">
        <v>72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 s="18" customFormat="1" ht="14.45" customHeight="1" x14ac:dyDescent="0.25">
      <c r="A36" s="102"/>
      <c r="B36" s="53" t="s">
        <v>9</v>
      </c>
      <c r="C36" s="15" t="s">
        <v>69</v>
      </c>
      <c r="D36" s="15" t="s">
        <v>70</v>
      </c>
      <c r="E36" s="16">
        <v>2</v>
      </c>
      <c r="F36" s="17">
        <v>90</v>
      </c>
      <c r="G36" s="17">
        <f t="shared" si="4"/>
        <v>180</v>
      </c>
      <c r="H36" s="55" t="s">
        <v>73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7" s="18" customFormat="1" ht="14.45" customHeight="1" x14ac:dyDescent="0.25">
      <c r="A37" s="102"/>
      <c r="B37" s="15" t="s">
        <v>13</v>
      </c>
      <c r="C37" s="15" t="s">
        <v>128</v>
      </c>
      <c r="D37" s="15" t="s">
        <v>127</v>
      </c>
      <c r="E37" s="16">
        <f>4/100</f>
        <v>0.04</v>
      </c>
      <c r="F37" s="17">
        <v>6.55</v>
      </c>
      <c r="G37" s="17">
        <f t="shared" si="4"/>
        <v>0.26200000000000001</v>
      </c>
      <c r="H37" s="120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s="18" customFormat="1" ht="14.45" customHeight="1" x14ac:dyDescent="0.25">
      <c r="A38" s="102"/>
      <c r="B38" s="15" t="s">
        <v>13</v>
      </c>
      <c r="C38" s="15" t="s">
        <v>130</v>
      </c>
      <c r="D38" s="15" t="s">
        <v>129</v>
      </c>
      <c r="E38" s="16">
        <f>1/100</f>
        <v>0.01</v>
      </c>
      <c r="F38" s="17">
        <v>10.86</v>
      </c>
      <c r="G38" s="17">
        <f t="shared" si="4"/>
        <v>0.1086</v>
      </c>
      <c r="H38" s="121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s="18" customFormat="1" ht="14.45" customHeight="1" x14ac:dyDescent="0.25">
      <c r="A39" s="102"/>
      <c r="B39" s="15" t="s">
        <v>13</v>
      </c>
      <c r="C39" s="52" t="s">
        <v>131</v>
      </c>
      <c r="D39" s="15" t="s">
        <v>132</v>
      </c>
      <c r="E39" s="16">
        <f>1/50</f>
        <v>0.02</v>
      </c>
      <c r="F39" s="17">
        <v>10.41</v>
      </c>
      <c r="G39" s="17">
        <f t="shared" si="4"/>
        <v>0.2082</v>
      </c>
      <c r="H39" s="121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s="18" customFormat="1" ht="14.45" customHeight="1" x14ac:dyDescent="0.25">
      <c r="A40" s="102"/>
      <c r="B40" s="15" t="s">
        <v>13</v>
      </c>
      <c r="C40" s="15" t="s">
        <v>134</v>
      </c>
      <c r="D40" s="15" t="s">
        <v>133</v>
      </c>
      <c r="E40" s="16">
        <f>3/100</f>
        <v>0.03</v>
      </c>
      <c r="F40" s="17">
        <v>13.54</v>
      </c>
      <c r="G40" s="17">
        <f t="shared" si="4"/>
        <v>0.40619999999999995</v>
      </c>
      <c r="H40" s="121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s="18" customFormat="1" ht="14.45" customHeight="1" x14ac:dyDescent="0.25">
      <c r="A41" s="102"/>
      <c r="B41" s="15" t="s">
        <v>13</v>
      </c>
      <c r="C41" s="15" t="s">
        <v>135</v>
      </c>
      <c r="D41" s="15" t="s">
        <v>136</v>
      </c>
      <c r="E41" s="16">
        <f>2/100</f>
        <v>0.02</v>
      </c>
      <c r="F41" s="17">
        <v>6.46</v>
      </c>
      <c r="G41" s="17">
        <f t="shared" si="4"/>
        <v>0.12920000000000001</v>
      </c>
      <c r="H41" s="12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7" s="18" customFormat="1" ht="14.45" customHeight="1" x14ac:dyDescent="0.25">
      <c r="A42" s="103"/>
      <c r="B42" s="15" t="s">
        <v>13</v>
      </c>
      <c r="C42" s="15" t="s">
        <v>137</v>
      </c>
      <c r="D42" s="15" t="s">
        <v>138</v>
      </c>
      <c r="E42" s="16">
        <f>2/50</f>
        <v>0.04</v>
      </c>
      <c r="F42" s="17">
        <v>9.1999999999999993</v>
      </c>
      <c r="G42" s="17">
        <f t="shared" si="4"/>
        <v>0.36799999999999999</v>
      </c>
      <c r="H42" s="12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1:37" s="11" customFormat="1" x14ac:dyDescent="0.25">
      <c r="A43" s="75" t="s">
        <v>33</v>
      </c>
      <c r="B43" s="8" t="s">
        <v>37</v>
      </c>
      <c r="C43" s="8" t="s">
        <v>34</v>
      </c>
      <c r="D43" s="8" t="s">
        <v>83</v>
      </c>
      <c r="E43" s="33">
        <v>1</v>
      </c>
      <c r="F43" s="10">
        <v>1.1200000000000001</v>
      </c>
      <c r="G43" s="10">
        <f t="shared" si="1"/>
        <v>1.1200000000000001</v>
      </c>
      <c r="H43" s="58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37" s="18" customFormat="1" x14ac:dyDescent="0.25">
      <c r="A44" s="110" t="s">
        <v>36</v>
      </c>
      <c r="B44" s="15" t="s">
        <v>37</v>
      </c>
      <c r="C44" s="19" t="s">
        <v>247</v>
      </c>
      <c r="D44" s="15" t="s">
        <v>38</v>
      </c>
      <c r="E44" s="20">
        <v>1</v>
      </c>
      <c r="F44" s="17">
        <v>13.95</v>
      </c>
      <c r="G44" s="17">
        <f t="shared" si="1"/>
        <v>13.95</v>
      </c>
      <c r="H44" s="112" t="s">
        <v>78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1:37" s="18" customFormat="1" x14ac:dyDescent="0.25">
      <c r="A45" s="110"/>
      <c r="B45" s="15" t="s">
        <v>37</v>
      </c>
      <c r="C45" s="19" t="s">
        <v>248</v>
      </c>
      <c r="D45" s="15" t="s">
        <v>39</v>
      </c>
      <c r="E45" s="20">
        <v>1</v>
      </c>
      <c r="F45" s="17">
        <v>1.95</v>
      </c>
      <c r="G45" s="17">
        <f t="shared" si="1"/>
        <v>1.95</v>
      </c>
      <c r="H45" s="112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37" s="18" customFormat="1" x14ac:dyDescent="0.25">
      <c r="A46" s="111"/>
      <c r="B46" s="15" t="s">
        <v>37</v>
      </c>
      <c r="C46" s="19" t="s">
        <v>249</v>
      </c>
      <c r="D46" s="15" t="s">
        <v>235</v>
      </c>
      <c r="E46" s="20">
        <v>1</v>
      </c>
      <c r="F46" s="17">
        <v>9.9499999999999993</v>
      </c>
      <c r="G46" s="17">
        <f t="shared" si="1"/>
        <v>9.9499999999999993</v>
      </c>
      <c r="H46" s="112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7" s="18" customFormat="1" x14ac:dyDescent="0.25">
      <c r="A47" s="111"/>
      <c r="B47" s="15" t="s">
        <v>37</v>
      </c>
      <c r="C47" s="19" t="s">
        <v>250</v>
      </c>
      <c r="D47" s="15" t="s">
        <v>40</v>
      </c>
      <c r="E47" s="20">
        <v>1</v>
      </c>
      <c r="F47" s="17">
        <v>0.95</v>
      </c>
      <c r="G47" s="17">
        <f t="shared" si="1"/>
        <v>0.95</v>
      </c>
      <c r="H47" s="112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11" customFormat="1" x14ac:dyDescent="0.25">
      <c r="A48" s="135" t="s">
        <v>41</v>
      </c>
      <c r="B48" s="7" t="s">
        <v>37</v>
      </c>
      <c r="C48" s="7" t="s">
        <v>146</v>
      </c>
      <c r="D48" s="8" t="s">
        <v>147</v>
      </c>
      <c r="E48" s="9">
        <v>1</v>
      </c>
      <c r="F48" s="10">
        <v>6.37</v>
      </c>
      <c r="G48" s="10">
        <f t="shared" si="1"/>
        <v>6.37</v>
      </c>
      <c r="H48" s="123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11" customFormat="1" x14ac:dyDescent="0.25">
      <c r="A49" s="136"/>
      <c r="B49" s="7" t="s">
        <v>37</v>
      </c>
      <c r="C49" s="7" t="s">
        <v>148</v>
      </c>
      <c r="D49" s="8" t="s">
        <v>149</v>
      </c>
      <c r="E49" s="9">
        <v>1</v>
      </c>
      <c r="F49" s="10">
        <v>1.02</v>
      </c>
      <c r="G49" s="10">
        <f t="shared" si="1"/>
        <v>1.02</v>
      </c>
      <c r="H49" s="124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s="11" customFormat="1" x14ac:dyDescent="0.25">
      <c r="A50" s="136"/>
      <c r="B50" s="7" t="s">
        <v>37</v>
      </c>
      <c r="C50" s="7" t="s">
        <v>141</v>
      </c>
      <c r="D50" s="8" t="s">
        <v>142</v>
      </c>
      <c r="E50" s="9">
        <v>1</v>
      </c>
      <c r="F50" s="10">
        <v>21.1</v>
      </c>
      <c r="G50" s="10">
        <f t="shared" si="1"/>
        <v>21.1</v>
      </c>
      <c r="H50" s="124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161" customFormat="1" x14ac:dyDescent="0.25">
      <c r="A51" s="136"/>
      <c r="B51" s="146" t="s">
        <v>37</v>
      </c>
      <c r="C51" s="146" t="s">
        <v>139</v>
      </c>
      <c r="D51" s="57" t="s">
        <v>140</v>
      </c>
      <c r="E51" s="164">
        <v>1</v>
      </c>
      <c r="F51" s="165">
        <v>29.34</v>
      </c>
      <c r="G51" s="165">
        <f t="shared" si="1"/>
        <v>29.34</v>
      </c>
      <c r="H51" s="175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11" customFormat="1" x14ac:dyDescent="0.25">
      <c r="A52" s="136"/>
      <c r="B52" s="65" t="s">
        <v>37</v>
      </c>
      <c r="C52" s="12" t="s">
        <v>94</v>
      </c>
      <c r="D52" s="8" t="s">
        <v>145</v>
      </c>
      <c r="E52" s="9">
        <v>1</v>
      </c>
      <c r="F52" s="10">
        <v>4.95</v>
      </c>
      <c r="G52" s="10">
        <f t="shared" si="1"/>
        <v>4.95</v>
      </c>
      <c r="H52" s="35" t="s">
        <v>270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s="11" customFormat="1" x14ac:dyDescent="0.25">
      <c r="A53" s="136"/>
      <c r="B53" s="65" t="s">
        <v>37</v>
      </c>
      <c r="C53" s="7" t="s">
        <v>143</v>
      </c>
      <c r="D53" s="8" t="s">
        <v>144</v>
      </c>
      <c r="E53" s="9">
        <v>1</v>
      </c>
      <c r="F53" s="10">
        <v>2.95</v>
      </c>
      <c r="G53" s="10">
        <f t="shared" si="1"/>
        <v>2.95</v>
      </c>
      <c r="H53" s="25" t="s">
        <v>271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 s="12" customFormat="1" ht="18" customHeight="1" x14ac:dyDescent="0.25">
      <c r="A54" s="137"/>
      <c r="B54" s="69" t="s">
        <v>37</v>
      </c>
      <c r="C54" s="67" t="s">
        <v>42</v>
      </c>
      <c r="D54" s="67" t="s">
        <v>43</v>
      </c>
      <c r="E54" s="68">
        <v>3</v>
      </c>
      <c r="F54" s="174">
        <v>46.77</v>
      </c>
      <c r="G54" s="174">
        <f t="shared" si="1"/>
        <v>140.31</v>
      </c>
      <c r="H54" s="43" t="s">
        <v>293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173" customFormat="1" ht="18" customHeight="1" x14ac:dyDescent="0.25">
      <c r="A55" s="166"/>
      <c r="B55" s="167" t="s">
        <v>37</v>
      </c>
      <c r="C55" s="168" t="s">
        <v>55</v>
      </c>
      <c r="D55" s="168" t="s">
        <v>56</v>
      </c>
      <c r="E55" s="169">
        <v>3</v>
      </c>
      <c r="F55" s="170">
        <v>33.82</v>
      </c>
      <c r="G55" s="171">
        <f t="shared" si="1"/>
        <v>101.46000000000001</v>
      </c>
      <c r="H55" s="172" t="s">
        <v>85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s="60" customFormat="1" ht="15.75" customHeight="1" x14ac:dyDescent="0.25">
      <c r="A56" s="74" t="s">
        <v>54</v>
      </c>
      <c r="B56" s="138" t="s">
        <v>57</v>
      </c>
      <c r="C56" s="59" t="s">
        <v>58</v>
      </c>
      <c r="D56" s="59" t="s">
        <v>59</v>
      </c>
      <c r="E56" s="139">
        <v>2</v>
      </c>
      <c r="F56" s="17">
        <v>74.08</v>
      </c>
      <c r="G56" s="17">
        <f t="shared" si="1"/>
        <v>148.16</v>
      </c>
      <c r="H56" s="125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 s="18" customFormat="1" x14ac:dyDescent="0.25">
      <c r="A57" s="78"/>
      <c r="B57" s="19" t="s">
        <v>160</v>
      </c>
      <c r="C57" s="19" t="s">
        <v>224</v>
      </c>
      <c r="D57" s="15" t="s">
        <v>225</v>
      </c>
      <c r="E57" s="20">
        <f>2/8</f>
        <v>0.25</v>
      </c>
      <c r="F57" s="17">
        <v>7.66</v>
      </c>
      <c r="G57" s="17">
        <f t="shared" si="1"/>
        <v>1.915</v>
      </c>
      <c r="H57" s="126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s="11" customFormat="1" x14ac:dyDescent="0.25">
      <c r="A58" s="92" t="s">
        <v>239</v>
      </c>
      <c r="B58" s="7" t="s">
        <v>37</v>
      </c>
      <c r="C58" s="7" t="s">
        <v>251</v>
      </c>
      <c r="D58" s="8" t="s">
        <v>64</v>
      </c>
      <c r="E58" s="9">
        <v>1</v>
      </c>
      <c r="F58" s="10">
        <v>4.95</v>
      </c>
      <c r="G58" s="10">
        <f t="shared" si="1"/>
        <v>4.95</v>
      </c>
      <c r="H58" s="61" t="s">
        <v>272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s="11" customFormat="1" x14ac:dyDescent="0.25">
      <c r="A59" s="92"/>
      <c r="B59" s="7" t="s">
        <v>37</v>
      </c>
      <c r="C59" s="7" t="s">
        <v>86</v>
      </c>
      <c r="D59" s="8" t="s">
        <v>65</v>
      </c>
      <c r="E59" s="9">
        <v>1</v>
      </c>
      <c r="F59" s="10">
        <v>8.9499999999999993</v>
      </c>
      <c r="G59" s="10">
        <f t="shared" si="1"/>
        <v>8.9499999999999993</v>
      </c>
      <c r="H59" s="108" t="s">
        <v>79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s="11" customFormat="1" x14ac:dyDescent="0.25">
      <c r="A60" s="93"/>
      <c r="B60" s="7" t="s">
        <v>66</v>
      </c>
      <c r="C60" s="7" t="s">
        <v>67</v>
      </c>
      <c r="D60" s="8" t="s">
        <v>68</v>
      </c>
      <c r="E60" s="9">
        <v>1</v>
      </c>
      <c r="F60" s="10">
        <v>7.59</v>
      </c>
      <c r="G60" s="10">
        <f t="shared" si="1"/>
        <v>7.59</v>
      </c>
      <c r="H60" s="109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s="18" customFormat="1" x14ac:dyDescent="0.25">
      <c r="A61" s="94" t="s">
        <v>88</v>
      </c>
      <c r="B61" s="19" t="s">
        <v>89</v>
      </c>
      <c r="C61" s="19"/>
      <c r="D61" s="15" t="s">
        <v>88</v>
      </c>
      <c r="E61" s="20">
        <v>1</v>
      </c>
      <c r="F61" s="17">
        <v>90</v>
      </c>
      <c r="G61" s="17">
        <f t="shared" si="1"/>
        <v>90</v>
      </c>
      <c r="H61" s="180" t="s">
        <v>273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s="177" customFormat="1" x14ac:dyDescent="0.25">
      <c r="A62" s="95"/>
      <c r="B62" s="176" t="s">
        <v>37</v>
      </c>
      <c r="C62" s="176" t="s">
        <v>150</v>
      </c>
      <c r="D62" s="178" t="s">
        <v>151</v>
      </c>
      <c r="E62" s="179">
        <v>2</v>
      </c>
      <c r="F62" s="171">
        <v>0.61</v>
      </c>
      <c r="G62" s="171">
        <f t="shared" si="1"/>
        <v>1.22</v>
      </c>
      <c r="H62" s="130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 s="177" customFormat="1" x14ac:dyDescent="0.25">
      <c r="A63" s="95"/>
      <c r="B63" s="176" t="s">
        <v>160</v>
      </c>
      <c r="C63" s="177" t="s">
        <v>162</v>
      </c>
      <c r="D63" s="178" t="s">
        <v>163</v>
      </c>
      <c r="E63" s="179">
        <f>1/2</f>
        <v>0.5</v>
      </c>
      <c r="F63" s="171">
        <v>7.99</v>
      </c>
      <c r="G63" s="171">
        <f>E63*F63</f>
        <v>3.9950000000000001</v>
      </c>
      <c r="H63" s="130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 s="18" customFormat="1" x14ac:dyDescent="0.25">
      <c r="A64" s="96"/>
      <c r="B64" s="19" t="s">
        <v>160</v>
      </c>
      <c r="C64" s="62" t="s">
        <v>238</v>
      </c>
      <c r="D64" s="15" t="s">
        <v>209</v>
      </c>
      <c r="E64" s="20">
        <f>1/6</f>
        <v>0.16666666666666666</v>
      </c>
      <c r="F64" s="17">
        <v>25.37</v>
      </c>
      <c r="G64" s="17">
        <f>E64*F64</f>
        <v>4.2283333333333335</v>
      </c>
      <c r="H64" s="130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 s="11" customFormat="1" ht="16.5" customHeight="1" x14ac:dyDescent="0.25">
      <c r="A65" s="91" t="s">
        <v>91</v>
      </c>
      <c r="B65" s="7" t="s">
        <v>90</v>
      </c>
      <c r="C65" s="7" t="s">
        <v>87</v>
      </c>
      <c r="D65" s="8"/>
      <c r="E65" s="9">
        <v>1</v>
      </c>
      <c r="F65" s="10">
        <v>15</v>
      </c>
      <c r="G65" s="10">
        <f t="shared" si="1"/>
        <v>15</v>
      </c>
      <c r="H65" s="63" t="s">
        <v>91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 s="11" customFormat="1" x14ac:dyDescent="0.25">
      <c r="A66" s="92"/>
      <c r="B66" s="7" t="s">
        <v>152</v>
      </c>
      <c r="C66" s="7" t="s">
        <v>154</v>
      </c>
      <c r="D66" s="8" t="s">
        <v>155</v>
      </c>
      <c r="E66" s="9">
        <v>1</v>
      </c>
      <c r="F66" s="10">
        <v>0.46600000000000003</v>
      </c>
      <c r="G66" s="10">
        <f t="shared" si="1"/>
        <v>0.46600000000000003</v>
      </c>
      <c r="H66" s="127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1:37" s="11" customFormat="1" x14ac:dyDescent="0.25">
      <c r="A67" s="92"/>
      <c r="B67" s="7" t="s">
        <v>152</v>
      </c>
      <c r="C67" s="7" t="s">
        <v>253</v>
      </c>
      <c r="D67" s="8" t="s">
        <v>153</v>
      </c>
      <c r="E67" s="9">
        <v>1</v>
      </c>
      <c r="F67" s="10">
        <v>0.71</v>
      </c>
      <c r="G67" s="10">
        <f t="shared" si="1"/>
        <v>0.71</v>
      </c>
      <c r="H67" s="128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37" s="11" customFormat="1" x14ac:dyDescent="0.25">
      <c r="A68" s="92"/>
      <c r="B68" s="7" t="s">
        <v>152</v>
      </c>
      <c r="C68" s="7" t="s">
        <v>240</v>
      </c>
      <c r="D68" s="8" t="s">
        <v>241</v>
      </c>
      <c r="E68" s="9">
        <v>3</v>
      </c>
      <c r="F68" s="10">
        <v>7.5999999999999998E-2</v>
      </c>
      <c r="G68" s="10">
        <f t="shared" si="1"/>
        <v>0.22799999999999998</v>
      </c>
      <c r="H68" s="12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1:37" s="11" customFormat="1" x14ac:dyDescent="0.25">
      <c r="A69" s="92"/>
      <c r="B69" s="7" t="s">
        <v>37</v>
      </c>
      <c r="C69" s="7" t="s">
        <v>157</v>
      </c>
      <c r="D69" s="8" t="s">
        <v>156</v>
      </c>
      <c r="E69" s="9">
        <v>2</v>
      </c>
      <c r="F69" s="10">
        <v>0.95</v>
      </c>
      <c r="G69" s="10">
        <f t="shared" si="1"/>
        <v>1.9</v>
      </c>
      <c r="H69" s="12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1:37" s="11" customFormat="1" x14ac:dyDescent="0.25">
      <c r="A70" s="92"/>
      <c r="B70" s="64" t="s">
        <v>37</v>
      </c>
      <c r="C70" s="7" t="s">
        <v>159</v>
      </c>
      <c r="D70" s="8" t="s">
        <v>158</v>
      </c>
      <c r="E70" s="9">
        <v>1</v>
      </c>
      <c r="F70" s="10">
        <v>11.89</v>
      </c>
      <c r="G70" s="10">
        <f t="shared" si="1"/>
        <v>11.89</v>
      </c>
      <c r="H70" s="63" t="s">
        <v>270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1:37" s="11" customFormat="1" x14ac:dyDescent="0.25">
      <c r="A71" s="92"/>
      <c r="B71" s="11" t="s">
        <v>37</v>
      </c>
      <c r="C71" s="7" t="s">
        <v>274</v>
      </c>
      <c r="D71" s="8" t="s">
        <v>275</v>
      </c>
      <c r="E71" s="9">
        <v>1</v>
      </c>
      <c r="F71" s="10">
        <v>4.0199999999999996</v>
      </c>
      <c r="G71" s="10">
        <f t="shared" si="1"/>
        <v>4.0199999999999996</v>
      </c>
      <c r="H71" s="63" t="s">
        <v>271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1:37" s="11" customFormat="1" x14ac:dyDescent="0.25">
      <c r="A72" s="93"/>
      <c r="B72" s="7" t="s">
        <v>160</v>
      </c>
      <c r="C72" s="12" t="s">
        <v>164</v>
      </c>
      <c r="D72" s="8" t="s">
        <v>161</v>
      </c>
      <c r="E72" s="9">
        <f>2/10</f>
        <v>0.2</v>
      </c>
      <c r="F72" s="10">
        <v>4.99</v>
      </c>
      <c r="G72" s="10">
        <f t="shared" si="1"/>
        <v>0.99800000000000011</v>
      </c>
      <c r="H72" s="63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1:37" s="18" customFormat="1" x14ac:dyDescent="0.25">
      <c r="A73" s="97" t="s">
        <v>92</v>
      </c>
      <c r="B73" s="19" t="s">
        <v>93</v>
      </c>
      <c r="C73" s="48" t="s">
        <v>171</v>
      </c>
      <c r="D73" s="15" t="s">
        <v>35</v>
      </c>
      <c r="E73" s="20">
        <v>1</v>
      </c>
      <c r="F73" s="17">
        <v>116.9</v>
      </c>
      <c r="G73" s="17">
        <f t="shared" si="1"/>
        <v>116.9</v>
      </c>
      <c r="H73" s="131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1:37" s="18" customFormat="1" x14ac:dyDescent="0.25">
      <c r="A74" s="98"/>
      <c r="B74" s="19" t="s">
        <v>93</v>
      </c>
      <c r="C74" s="19" t="s">
        <v>172</v>
      </c>
      <c r="D74" s="19" t="s">
        <v>165</v>
      </c>
      <c r="E74" s="20">
        <v>1</v>
      </c>
      <c r="F74" s="17">
        <v>1</v>
      </c>
      <c r="G74" s="17">
        <f t="shared" si="1"/>
        <v>1</v>
      </c>
      <c r="H74" s="132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 spans="1:37" s="18" customFormat="1" x14ac:dyDescent="0.25">
      <c r="A75" s="98"/>
      <c r="B75" s="19" t="s">
        <v>93</v>
      </c>
      <c r="C75" s="19" t="s">
        <v>173</v>
      </c>
      <c r="D75" s="18" t="s">
        <v>166</v>
      </c>
      <c r="E75" s="20">
        <v>1</v>
      </c>
      <c r="F75" s="17">
        <v>1</v>
      </c>
      <c r="G75" s="17">
        <f t="shared" si="1"/>
        <v>1</v>
      </c>
      <c r="H75" s="132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 spans="1:37" s="18" customFormat="1" x14ac:dyDescent="0.25">
      <c r="A76" s="98"/>
      <c r="B76" s="19" t="s">
        <v>93</v>
      </c>
      <c r="C76" s="15" t="s">
        <v>174</v>
      </c>
      <c r="D76" s="15" t="s">
        <v>175</v>
      </c>
      <c r="E76" s="16">
        <v>1</v>
      </c>
      <c r="F76" s="17">
        <v>1</v>
      </c>
      <c r="G76" s="17">
        <f t="shared" si="1"/>
        <v>1</v>
      </c>
      <c r="H76" s="132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 spans="1:37" s="18" customFormat="1" x14ac:dyDescent="0.25">
      <c r="A77" s="98"/>
      <c r="B77" s="19" t="s">
        <v>93</v>
      </c>
      <c r="C77" s="19" t="s">
        <v>176</v>
      </c>
      <c r="D77" s="19" t="s">
        <v>170</v>
      </c>
      <c r="E77" s="20">
        <v>1</v>
      </c>
      <c r="F77" s="17">
        <v>1</v>
      </c>
      <c r="G77" s="17">
        <f t="shared" si="1"/>
        <v>1</v>
      </c>
      <c r="H77" s="132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 spans="1:37" s="18" customFormat="1" x14ac:dyDescent="0.25">
      <c r="A78" s="98"/>
      <c r="B78" s="19" t="s">
        <v>93</v>
      </c>
      <c r="C78" s="15" t="s">
        <v>177</v>
      </c>
      <c r="D78" s="15" t="s">
        <v>167</v>
      </c>
      <c r="E78" s="16">
        <v>1</v>
      </c>
      <c r="F78" s="17">
        <v>1</v>
      </c>
      <c r="G78" s="17">
        <f t="shared" ref="G78:G127" si="5">E78*F78</f>
        <v>1</v>
      </c>
      <c r="H78" s="132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 spans="1:37" s="18" customFormat="1" x14ac:dyDescent="0.25">
      <c r="A79" s="98"/>
      <c r="B79" s="19" t="s">
        <v>93</v>
      </c>
      <c r="C79" s="15" t="s">
        <v>178</v>
      </c>
      <c r="D79" s="15" t="s">
        <v>168</v>
      </c>
      <c r="E79" s="16">
        <v>1</v>
      </c>
      <c r="F79" s="17">
        <v>2.74</v>
      </c>
      <c r="G79" s="17">
        <f t="shared" si="5"/>
        <v>2.74</v>
      </c>
      <c r="H79" s="132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1:37" s="18" customFormat="1" x14ac:dyDescent="0.25">
      <c r="A80" s="98"/>
      <c r="B80" s="19" t="s">
        <v>93</v>
      </c>
      <c r="C80" s="19" t="s">
        <v>179</v>
      </c>
      <c r="D80" s="19" t="s">
        <v>169</v>
      </c>
      <c r="E80" s="20">
        <v>1</v>
      </c>
      <c r="F80" s="17">
        <v>3.1</v>
      </c>
      <c r="G80" s="17">
        <f t="shared" si="5"/>
        <v>3.1</v>
      </c>
      <c r="H80" s="133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 s="11" customFormat="1" x14ac:dyDescent="0.25">
      <c r="A81" s="79"/>
      <c r="B81" s="56" t="s">
        <v>234</v>
      </c>
      <c r="C81" s="7" t="s">
        <v>264</v>
      </c>
      <c r="D81" s="8" t="s">
        <v>265</v>
      </c>
      <c r="E81" s="9">
        <v>0.08</v>
      </c>
      <c r="F81" s="10">
        <v>40</v>
      </c>
      <c r="G81" s="24">
        <f t="shared" ref="G81:G86" si="6">E81*F81</f>
        <v>3.2</v>
      </c>
      <c r="H81" s="127" t="s">
        <v>287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11" customFormat="1" x14ac:dyDescent="0.25">
      <c r="A82" s="73" t="s">
        <v>279</v>
      </c>
      <c r="B82" s="56" t="s">
        <v>234</v>
      </c>
      <c r="C82" s="7" t="s">
        <v>266</v>
      </c>
      <c r="D82" s="8" t="s">
        <v>267</v>
      </c>
      <c r="E82" s="9">
        <v>0.2</v>
      </c>
      <c r="F82" s="10">
        <v>7.6</v>
      </c>
      <c r="G82" s="10">
        <f t="shared" si="6"/>
        <v>1.52</v>
      </c>
      <c r="H82" s="128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11" customFormat="1" x14ac:dyDescent="0.25">
      <c r="A83" s="80"/>
      <c r="B83" s="56" t="s">
        <v>13</v>
      </c>
      <c r="C83" s="7" t="s">
        <v>281</v>
      </c>
      <c r="D83" s="8" t="s">
        <v>282</v>
      </c>
      <c r="E83" s="9">
        <v>1</v>
      </c>
      <c r="F83" s="10">
        <v>5.53</v>
      </c>
      <c r="G83" s="10">
        <f t="shared" si="6"/>
        <v>5.53</v>
      </c>
      <c r="H83" s="128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s="11" customFormat="1" x14ac:dyDescent="0.25">
      <c r="A84" s="81"/>
      <c r="B84" s="56" t="s">
        <v>13</v>
      </c>
      <c r="C84" s="7" t="s">
        <v>283</v>
      </c>
      <c r="D84" s="8" t="s">
        <v>284</v>
      </c>
      <c r="E84" s="9">
        <v>1</v>
      </c>
      <c r="F84" s="10">
        <v>2.99</v>
      </c>
      <c r="G84" s="10">
        <f t="shared" si="6"/>
        <v>2.99</v>
      </c>
      <c r="H84" s="129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 s="18" customFormat="1" x14ac:dyDescent="0.25">
      <c r="A85" s="72" t="s">
        <v>280</v>
      </c>
      <c r="B85" s="70" t="s">
        <v>288</v>
      </c>
      <c r="C85" s="19" t="s">
        <v>289</v>
      </c>
      <c r="D85" s="47" t="s">
        <v>290</v>
      </c>
      <c r="E85" s="20">
        <v>0.05</v>
      </c>
      <c r="F85" s="17">
        <v>329</v>
      </c>
      <c r="G85" s="17">
        <f t="shared" si="6"/>
        <v>16.45</v>
      </c>
      <c r="H85" s="131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 s="48" customFormat="1" x14ac:dyDescent="0.25">
      <c r="A86" s="89"/>
      <c r="B86" s="88" t="s">
        <v>288</v>
      </c>
      <c r="C86" s="48" t="s">
        <v>291</v>
      </c>
      <c r="D86" s="48" t="s">
        <v>292</v>
      </c>
      <c r="E86" s="71">
        <v>0.05</v>
      </c>
      <c r="F86" s="90">
        <v>439</v>
      </c>
      <c r="G86" s="90">
        <f t="shared" si="6"/>
        <v>21.950000000000003</v>
      </c>
      <c r="H86" s="133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 spans="1:37" s="11" customFormat="1" x14ac:dyDescent="0.25">
      <c r="A87" s="86"/>
      <c r="B87" s="56" t="s">
        <v>13</v>
      </c>
      <c r="C87" s="7" t="s">
        <v>181</v>
      </c>
      <c r="D87" s="8" t="s">
        <v>184</v>
      </c>
      <c r="E87" s="9">
        <v>5</v>
      </c>
      <c r="F87" s="10">
        <v>0.28999999999999998</v>
      </c>
      <c r="G87" s="10">
        <f t="shared" si="5"/>
        <v>1.45</v>
      </c>
      <c r="H87" s="140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37" s="11" customFormat="1" x14ac:dyDescent="0.25">
      <c r="A88" s="80"/>
      <c r="B88" s="56" t="s">
        <v>13</v>
      </c>
      <c r="C88" s="7" t="s">
        <v>185</v>
      </c>
      <c r="D88" s="8" t="s">
        <v>186</v>
      </c>
      <c r="E88" s="9">
        <f>4/36</f>
        <v>0.1111111111111111</v>
      </c>
      <c r="F88" s="10">
        <v>19.71</v>
      </c>
      <c r="G88" s="10">
        <f t="shared" si="5"/>
        <v>2.19</v>
      </c>
      <c r="H88" s="141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 spans="1:37" s="11" customFormat="1" x14ac:dyDescent="0.25">
      <c r="A89" s="80"/>
      <c r="B89" s="56" t="s">
        <v>13</v>
      </c>
      <c r="C89" s="64" t="s">
        <v>187</v>
      </c>
      <c r="D89" s="8" t="s">
        <v>188</v>
      </c>
      <c r="E89" s="9">
        <v>3</v>
      </c>
      <c r="F89" s="10">
        <v>0.51</v>
      </c>
      <c r="G89" s="10">
        <f t="shared" si="5"/>
        <v>1.53</v>
      </c>
      <c r="H89" s="141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37" s="11" customFormat="1" x14ac:dyDescent="0.25">
      <c r="A90" s="80"/>
      <c r="B90" s="56" t="s">
        <v>13</v>
      </c>
      <c r="C90" s="7" t="s">
        <v>183</v>
      </c>
      <c r="D90" s="8" t="s">
        <v>182</v>
      </c>
      <c r="E90" s="9">
        <v>1.5</v>
      </c>
      <c r="F90" s="10">
        <v>0.24</v>
      </c>
      <c r="G90" s="10">
        <f t="shared" si="5"/>
        <v>0.36</v>
      </c>
      <c r="H90" s="141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 spans="1:37" s="11" customFormat="1" x14ac:dyDescent="0.25">
      <c r="A91" s="80"/>
      <c r="B91" s="56" t="s">
        <v>13</v>
      </c>
      <c r="C91" s="7" t="s">
        <v>276</v>
      </c>
      <c r="D91" s="8" t="s">
        <v>277</v>
      </c>
      <c r="E91" s="9">
        <v>2.5</v>
      </c>
      <c r="F91" s="10">
        <v>0.68</v>
      </c>
      <c r="G91" s="10">
        <f t="shared" si="5"/>
        <v>1.7000000000000002</v>
      </c>
      <c r="H91" s="14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37" s="11" customFormat="1" x14ac:dyDescent="0.25">
      <c r="A92" s="80"/>
      <c r="B92" s="56" t="s">
        <v>13</v>
      </c>
      <c r="C92" s="7" t="s">
        <v>285</v>
      </c>
      <c r="D92" s="8" t="s">
        <v>286</v>
      </c>
      <c r="E92" s="9">
        <v>0.24</v>
      </c>
      <c r="F92" s="10">
        <v>7.83</v>
      </c>
      <c r="G92" s="10">
        <f t="shared" si="5"/>
        <v>1.8792</v>
      </c>
      <c r="H92" s="141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 spans="1:37" s="11" customFormat="1" x14ac:dyDescent="0.25">
      <c r="A93" s="80"/>
      <c r="B93" s="56" t="s">
        <v>210</v>
      </c>
      <c r="C93" s="7">
        <v>4576</v>
      </c>
      <c r="D93" s="8" t="s">
        <v>211</v>
      </c>
      <c r="E93" s="9">
        <v>1</v>
      </c>
      <c r="F93" s="10">
        <v>1.29</v>
      </c>
      <c r="G93" s="10">
        <f t="shared" si="5"/>
        <v>1.29</v>
      </c>
      <c r="H93" s="141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37" s="11" customFormat="1" x14ac:dyDescent="0.25">
      <c r="A94" s="80"/>
      <c r="B94" s="56" t="s">
        <v>210</v>
      </c>
      <c r="C94" s="7">
        <v>4577</v>
      </c>
      <c r="D94" s="8" t="s">
        <v>212</v>
      </c>
      <c r="E94" s="9">
        <v>1</v>
      </c>
      <c r="F94" s="10">
        <v>1.29</v>
      </c>
      <c r="G94" s="10">
        <f t="shared" si="5"/>
        <v>1.29</v>
      </c>
      <c r="H94" s="141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 spans="1:37" s="11" customFormat="1" x14ac:dyDescent="0.25">
      <c r="A95" s="80"/>
      <c r="B95" s="56" t="s">
        <v>210</v>
      </c>
      <c r="C95" s="7">
        <v>4578</v>
      </c>
      <c r="D95" s="8" t="s">
        <v>213</v>
      </c>
      <c r="E95" s="9">
        <v>1</v>
      </c>
      <c r="F95" s="10">
        <v>2.39</v>
      </c>
      <c r="G95" s="10">
        <f t="shared" si="5"/>
        <v>2.39</v>
      </c>
      <c r="H95" s="141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37" s="11" customFormat="1" x14ac:dyDescent="0.25">
      <c r="A96" s="80"/>
      <c r="B96" s="56" t="s">
        <v>210</v>
      </c>
      <c r="C96" s="7">
        <v>4579</v>
      </c>
      <c r="D96" s="8" t="s">
        <v>214</v>
      </c>
      <c r="E96" s="9">
        <v>1</v>
      </c>
      <c r="F96" s="10">
        <v>2.39</v>
      </c>
      <c r="G96" s="10">
        <f t="shared" si="5"/>
        <v>2.39</v>
      </c>
      <c r="H96" s="141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 s="11" customFormat="1" x14ac:dyDescent="0.25">
      <c r="A97" s="80"/>
      <c r="B97" s="56" t="s">
        <v>210</v>
      </c>
      <c r="C97" s="7">
        <v>4580</v>
      </c>
      <c r="D97" s="8" t="s">
        <v>215</v>
      </c>
      <c r="E97" s="9">
        <v>1</v>
      </c>
      <c r="F97" s="10">
        <v>2.39</v>
      </c>
      <c r="G97" s="10">
        <f t="shared" si="5"/>
        <v>2.39</v>
      </c>
      <c r="H97" s="141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s="11" customFormat="1" x14ac:dyDescent="0.25">
      <c r="A98" s="80"/>
      <c r="B98" s="56" t="s">
        <v>210</v>
      </c>
      <c r="C98" s="7">
        <v>4581</v>
      </c>
      <c r="D98" s="8" t="s">
        <v>216</v>
      </c>
      <c r="E98" s="9">
        <v>1</v>
      </c>
      <c r="F98" s="10">
        <v>4.25</v>
      </c>
      <c r="G98" s="10">
        <f t="shared" si="5"/>
        <v>4.25</v>
      </c>
      <c r="H98" s="141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s="11" customFormat="1" x14ac:dyDescent="0.25">
      <c r="A99" s="80"/>
      <c r="B99" s="56" t="s">
        <v>210</v>
      </c>
      <c r="C99" s="7">
        <v>4582</v>
      </c>
      <c r="D99" s="8" t="s">
        <v>217</v>
      </c>
      <c r="E99" s="9">
        <v>1</v>
      </c>
      <c r="F99" s="10">
        <v>4.25</v>
      </c>
      <c r="G99" s="10">
        <f t="shared" si="5"/>
        <v>4.25</v>
      </c>
      <c r="H99" s="141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 s="11" customFormat="1" x14ac:dyDescent="0.25">
      <c r="A100" s="87" t="s">
        <v>180</v>
      </c>
      <c r="B100" s="56" t="s">
        <v>210</v>
      </c>
      <c r="C100" s="7">
        <v>1900</v>
      </c>
      <c r="D100" s="8" t="s">
        <v>218</v>
      </c>
      <c r="E100" s="9">
        <v>1</v>
      </c>
      <c r="F100" s="10">
        <v>1.29</v>
      </c>
      <c r="G100" s="10">
        <f t="shared" si="5"/>
        <v>1.29</v>
      </c>
      <c r="H100" s="141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 s="11" customFormat="1" x14ac:dyDescent="0.25">
      <c r="A101" s="80"/>
      <c r="B101" s="56" t="s">
        <v>210</v>
      </c>
      <c r="C101" s="7">
        <v>1901</v>
      </c>
      <c r="D101" s="8" t="s">
        <v>219</v>
      </c>
      <c r="E101" s="9">
        <v>1</v>
      </c>
      <c r="F101" s="10">
        <v>1.49</v>
      </c>
      <c r="G101" s="10">
        <f t="shared" si="5"/>
        <v>1.49</v>
      </c>
      <c r="H101" s="14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 s="11" customFormat="1" x14ac:dyDescent="0.25">
      <c r="A102" s="80"/>
      <c r="B102" s="56" t="s">
        <v>210</v>
      </c>
      <c r="C102" s="7">
        <v>1902</v>
      </c>
      <c r="D102" s="57" t="s">
        <v>220</v>
      </c>
      <c r="E102" s="9">
        <f>5/25</f>
        <v>0.2</v>
      </c>
      <c r="F102" s="10">
        <v>1.69</v>
      </c>
      <c r="G102" s="10">
        <f t="shared" si="5"/>
        <v>0.33800000000000002</v>
      </c>
      <c r="H102" s="141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 s="11" customFormat="1" x14ac:dyDescent="0.25">
      <c r="A103" s="80"/>
      <c r="B103" s="56" t="s">
        <v>210</v>
      </c>
      <c r="C103" s="7">
        <v>1903</v>
      </c>
      <c r="D103" s="8" t="s">
        <v>221</v>
      </c>
      <c r="E103" s="9">
        <f>5/10</f>
        <v>0.5</v>
      </c>
      <c r="F103" s="10">
        <v>1.29</v>
      </c>
      <c r="G103" s="10">
        <f t="shared" si="5"/>
        <v>0.64500000000000002</v>
      </c>
      <c r="H103" s="141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 s="11" customFormat="1" x14ac:dyDescent="0.25">
      <c r="A104" s="80"/>
      <c r="B104" s="56" t="s">
        <v>210</v>
      </c>
      <c r="C104" s="7">
        <v>1904</v>
      </c>
      <c r="D104" s="57" t="s">
        <v>222</v>
      </c>
      <c r="E104" s="9">
        <f>1/10</f>
        <v>0.1</v>
      </c>
      <c r="F104" s="10">
        <v>1.49</v>
      </c>
      <c r="G104" s="10">
        <f t="shared" si="5"/>
        <v>0.14899999999999999</v>
      </c>
      <c r="H104" s="141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 s="161" customFormat="1" x14ac:dyDescent="0.25">
      <c r="A105" s="80"/>
      <c r="B105" s="181" t="s">
        <v>210</v>
      </c>
      <c r="C105" s="146">
        <v>1905</v>
      </c>
      <c r="D105" s="182" t="s">
        <v>223</v>
      </c>
      <c r="E105" s="164">
        <f>1/10</f>
        <v>0.1</v>
      </c>
      <c r="F105" s="165">
        <v>1.69</v>
      </c>
      <c r="G105" s="165">
        <f t="shared" si="5"/>
        <v>0.16900000000000001</v>
      </c>
      <c r="H105" s="141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 s="11" customFormat="1" x14ac:dyDescent="0.25">
      <c r="A106" s="184"/>
      <c r="B106" s="7" t="s">
        <v>152</v>
      </c>
      <c r="C106" s="7" t="s">
        <v>228</v>
      </c>
      <c r="D106" s="8" t="s">
        <v>229</v>
      </c>
      <c r="E106" s="9">
        <f>2/4</f>
        <v>0.5</v>
      </c>
      <c r="F106" s="10">
        <v>1.57</v>
      </c>
      <c r="G106" s="10">
        <f t="shared" si="5"/>
        <v>0.78500000000000003</v>
      </c>
      <c r="H106" s="143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 s="11" customFormat="1" x14ac:dyDescent="0.25">
      <c r="A107" s="184"/>
      <c r="B107" s="7" t="s">
        <v>152</v>
      </c>
      <c r="C107" s="7" t="s">
        <v>231</v>
      </c>
      <c r="D107" s="8" t="s">
        <v>230</v>
      </c>
      <c r="E107" s="9">
        <f>2/4</f>
        <v>0.5</v>
      </c>
      <c r="F107" s="10">
        <v>1.6</v>
      </c>
      <c r="G107" s="10">
        <f t="shared" si="5"/>
        <v>0.8</v>
      </c>
      <c r="H107" s="143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 s="11" customFormat="1" x14ac:dyDescent="0.25">
      <c r="A108" s="184"/>
      <c r="B108" s="7" t="s">
        <v>152</v>
      </c>
      <c r="C108" s="7" t="s">
        <v>232</v>
      </c>
      <c r="D108" s="8" t="s">
        <v>233</v>
      </c>
      <c r="E108" s="9">
        <f>1/4</f>
        <v>0.25</v>
      </c>
      <c r="F108" s="10">
        <v>2.16</v>
      </c>
      <c r="G108" s="10">
        <f t="shared" si="5"/>
        <v>0.54</v>
      </c>
      <c r="H108" s="143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 s="41" customFormat="1" x14ac:dyDescent="0.25">
      <c r="A109" s="80"/>
      <c r="B109" s="183" t="s">
        <v>160</v>
      </c>
      <c r="C109" s="148" t="s">
        <v>227</v>
      </c>
      <c r="D109" s="36" t="s">
        <v>226</v>
      </c>
      <c r="E109" s="154">
        <f>20/100</f>
        <v>0.2</v>
      </c>
      <c r="F109" s="40">
        <v>7.88</v>
      </c>
      <c r="G109" s="40">
        <f t="shared" si="5"/>
        <v>1.5760000000000001</v>
      </c>
      <c r="H109" s="141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 s="11" customFormat="1" x14ac:dyDescent="0.25">
      <c r="A110" s="80"/>
      <c r="B110" s="56" t="s">
        <v>160</v>
      </c>
      <c r="C110" s="7" t="s">
        <v>205</v>
      </c>
      <c r="D110" s="8" t="s">
        <v>206</v>
      </c>
      <c r="E110" s="9">
        <f>0.5/5</f>
        <v>0.1</v>
      </c>
      <c r="F110" s="10">
        <v>9.0500000000000007</v>
      </c>
      <c r="G110" s="10">
        <f t="shared" si="5"/>
        <v>0.90500000000000014</v>
      </c>
      <c r="H110" s="141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 s="11" customFormat="1" x14ac:dyDescent="0.25">
      <c r="A111" s="80"/>
      <c r="B111" s="56" t="s">
        <v>160</v>
      </c>
      <c r="C111" s="7" t="s">
        <v>204</v>
      </c>
      <c r="D111" s="8" t="s">
        <v>207</v>
      </c>
      <c r="E111" s="9">
        <f>1/4</f>
        <v>0.25</v>
      </c>
      <c r="F111" s="10">
        <v>7.95</v>
      </c>
      <c r="G111" s="10">
        <f t="shared" si="5"/>
        <v>1.9875</v>
      </c>
      <c r="H111" s="14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 s="11" customFormat="1" x14ac:dyDescent="0.25">
      <c r="A112" s="80"/>
      <c r="B112" s="56" t="s">
        <v>160</v>
      </c>
      <c r="C112" s="7" t="s">
        <v>208</v>
      </c>
      <c r="D112" s="8" t="s">
        <v>203</v>
      </c>
      <c r="E112" s="9">
        <f>1/6</f>
        <v>0.16666666666666666</v>
      </c>
      <c r="F112" s="10">
        <v>14.98</v>
      </c>
      <c r="G112" s="10">
        <f t="shared" si="5"/>
        <v>2.4966666666666666</v>
      </c>
      <c r="H112" s="63" t="s">
        <v>270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s="11" customFormat="1" x14ac:dyDescent="0.25">
      <c r="A113" s="80"/>
      <c r="B113" s="56" t="s">
        <v>13</v>
      </c>
      <c r="C113" s="7" t="s">
        <v>201</v>
      </c>
      <c r="D113" s="8" t="s">
        <v>202</v>
      </c>
      <c r="E113" s="9">
        <f>4/180</f>
        <v>2.2222222222222223E-2</v>
      </c>
      <c r="F113" s="10">
        <v>22.94</v>
      </c>
      <c r="G113" s="10">
        <f>E113*F113</f>
        <v>0.50977777777777777</v>
      </c>
      <c r="H113" s="141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 s="65" customFormat="1" x14ac:dyDescent="0.25">
      <c r="A114" s="82"/>
      <c r="B114" s="56" t="s">
        <v>13</v>
      </c>
      <c r="C114" s="65" t="s">
        <v>197</v>
      </c>
      <c r="D114" s="65" t="s">
        <v>198</v>
      </c>
      <c r="E114" s="66">
        <v>12</v>
      </c>
      <c r="F114" s="10">
        <v>0.6</v>
      </c>
      <c r="G114" s="10">
        <f t="shared" si="5"/>
        <v>7.1999999999999993</v>
      </c>
      <c r="H114" s="141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s="11" customFormat="1" x14ac:dyDescent="0.25">
      <c r="A115" s="80"/>
      <c r="B115" s="56" t="s">
        <v>13</v>
      </c>
      <c r="C115" s="7" t="s">
        <v>199</v>
      </c>
      <c r="D115" s="8" t="s">
        <v>200</v>
      </c>
      <c r="E115" s="9">
        <f>1/20</f>
        <v>0.05</v>
      </c>
      <c r="F115" s="10">
        <v>33.67</v>
      </c>
      <c r="G115" s="10">
        <f t="shared" si="5"/>
        <v>1.6835000000000002</v>
      </c>
      <c r="H115" s="142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 s="11" customFormat="1" x14ac:dyDescent="0.25">
      <c r="A116" s="80"/>
      <c r="B116" s="56" t="s">
        <v>13</v>
      </c>
      <c r="C116" s="7" t="s">
        <v>97</v>
      </c>
      <c r="D116" s="8" t="s">
        <v>95</v>
      </c>
      <c r="E116" s="9">
        <v>8</v>
      </c>
      <c r="F116" s="10">
        <v>0.47</v>
      </c>
      <c r="G116" s="10">
        <f t="shared" si="5"/>
        <v>3.76</v>
      </c>
      <c r="H116" s="63" t="s">
        <v>278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 s="11" customFormat="1" x14ac:dyDescent="0.25">
      <c r="A117" s="80"/>
      <c r="B117" s="56" t="s">
        <v>13</v>
      </c>
      <c r="C117" s="7" t="s">
        <v>98</v>
      </c>
      <c r="D117" s="8" t="s">
        <v>96</v>
      </c>
      <c r="E117" s="9">
        <v>4</v>
      </c>
      <c r="F117" s="10">
        <v>0.47</v>
      </c>
      <c r="G117" s="10">
        <f t="shared" si="5"/>
        <v>1.88</v>
      </c>
      <c r="H117" s="63" t="s">
        <v>270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 s="11" customFormat="1" x14ac:dyDescent="0.25">
      <c r="A118" s="80"/>
      <c r="B118" s="56" t="s">
        <v>13</v>
      </c>
      <c r="C118" s="7" t="s">
        <v>99</v>
      </c>
      <c r="D118" s="8" t="s">
        <v>100</v>
      </c>
      <c r="E118" s="9">
        <v>4</v>
      </c>
      <c r="F118" s="10">
        <v>0.46</v>
      </c>
      <c r="G118" s="10">
        <f t="shared" si="5"/>
        <v>1.84</v>
      </c>
      <c r="H118" s="127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 s="11" customFormat="1" x14ac:dyDescent="0.25">
      <c r="A119" s="80"/>
      <c r="B119" s="56" t="s">
        <v>13</v>
      </c>
      <c r="C119" s="7" t="s">
        <v>101</v>
      </c>
      <c r="D119" s="8" t="s">
        <v>102</v>
      </c>
      <c r="E119" s="9">
        <f>2/25</f>
        <v>0.08</v>
      </c>
      <c r="F119" s="10">
        <v>4.26</v>
      </c>
      <c r="G119" s="10">
        <f t="shared" si="5"/>
        <v>0.34079999999999999</v>
      </c>
      <c r="H119" s="128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 s="11" customFormat="1" x14ac:dyDescent="0.25">
      <c r="A120" s="80"/>
      <c r="B120" s="56" t="s">
        <v>13</v>
      </c>
      <c r="C120" s="7" t="s">
        <v>104</v>
      </c>
      <c r="D120" s="8" t="s">
        <v>103</v>
      </c>
      <c r="E120" s="9">
        <f>2/100</f>
        <v>0.02</v>
      </c>
      <c r="F120" s="10">
        <v>14.27</v>
      </c>
      <c r="G120" s="10">
        <f t="shared" si="5"/>
        <v>0.28539999999999999</v>
      </c>
      <c r="H120" s="128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 s="11" customFormat="1" x14ac:dyDescent="0.25">
      <c r="A121" s="80"/>
      <c r="B121" s="56" t="s">
        <v>13</v>
      </c>
      <c r="C121" s="7" t="s">
        <v>106</v>
      </c>
      <c r="D121" s="8" t="s">
        <v>105</v>
      </c>
      <c r="E121" s="9">
        <f>27/100</f>
        <v>0.27</v>
      </c>
      <c r="F121" s="10">
        <v>8.56</v>
      </c>
      <c r="G121" s="10">
        <f t="shared" si="5"/>
        <v>2.3112000000000004</v>
      </c>
      <c r="H121" s="128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 s="11" customFormat="1" x14ac:dyDescent="0.25">
      <c r="A122" s="80"/>
      <c r="B122" s="56" t="s">
        <v>13</v>
      </c>
      <c r="C122" s="7" t="s">
        <v>108</v>
      </c>
      <c r="D122" s="8" t="s">
        <v>107</v>
      </c>
      <c r="E122" s="9">
        <f>7/100</f>
        <v>7.0000000000000007E-2</v>
      </c>
      <c r="F122" s="10">
        <v>8.7200000000000006</v>
      </c>
      <c r="G122" s="10">
        <f t="shared" si="5"/>
        <v>0.61040000000000005</v>
      </c>
      <c r="H122" s="129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 s="11" customFormat="1" x14ac:dyDescent="0.25">
      <c r="A123" s="80"/>
      <c r="B123" s="56" t="s">
        <v>13</v>
      </c>
      <c r="C123" s="7" t="s">
        <v>109</v>
      </c>
      <c r="D123" s="8" t="s">
        <v>236</v>
      </c>
      <c r="E123" s="9">
        <f>6/50</f>
        <v>0.12</v>
      </c>
      <c r="F123" s="10">
        <v>14.8</v>
      </c>
      <c r="G123" s="10">
        <f t="shared" si="5"/>
        <v>1.776</v>
      </c>
      <c r="H123" s="63" t="s">
        <v>112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 s="11" customFormat="1" x14ac:dyDescent="0.25">
      <c r="A124" s="80"/>
      <c r="B124" s="56" t="s">
        <v>13</v>
      </c>
      <c r="C124" s="7" t="s">
        <v>110</v>
      </c>
      <c r="D124" s="8" t="s">
        <v>237</v>
      </c>
      <c r="E124" s="9">
        <f>7/50</f>
        <v>0.14000000000000001</v>
      </c>
      <c r="F124" s="10">
        <v>9.24</v>
      </c>
      <c r="G124" s="10">
        <f t="shared" si="5"/>
        <v>1.2936000000000001</v>
      </c>
      <c r="H124" s="63" t="s">
        <v>112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 s="12" customFormat="1" x14ac:dyDescent="0.25">
      <c r="A125" s="83"/>
      <c r="B125" s="56" t="s">
        <v>13</v>
      </c>
      <c r="C125" s="12" t="s">
        <v>189</v>
      </c>
      <c r="D125" s="12" t="s">
        <v>190</v>
      </c>
      <c r="E125" s="31">
        <f>2/50</f>
        <v>0.04</v>
      </c>
      <c r="F125" s="10">
        <v>20.71</v>
      </c>
      <c r="G125" s="10">
        <f t="shared" si="5"/>
        <v>0.82840000000000003</v>
      </c>
      <c r="H125" s="13" t="s">
        <v>111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s="67" customFormat="1" x14ac:dyDescent="0.25">
      <c r="A126" s="76"/>
      <c r="B126" s="56" t="s">
        <v>13</v>
      </c>
      <c r="C126" s="67" t="s">
        <v>191</v>
      </c>
      <c r="D126" s="67" t="s">
        <v>192</v>
      </c>
      <c r="E126" s="68">
        <f>2/100</f>
        <v>0.02</v>
      </c>
      <c r="F126" s="24">
        <v>5.34</v>
      </c>
      <c r="G126" s="24">
        <f t="shared" si="5"/>
        <v>0.10680000000000001</v>
      </c>
      <c r="H126" s="43" t="s">
        <v>111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 s="69" customFormat="1" x14ac:dyDescent="0.25">
      <c r="A127" s="84"/>
      <c r="B127" s="56" t="s">
        <v>13</v>
      </c>
      <c r="C127" s="67" t="s">
        <v>193</v>
      </c>
      <c r="D127" s="65" t="s">
        <v>194</v>
      </c>
      <c r="E127" s="68">
        <f>2/50</f>
        <v>0.04</v>
      </c>
      <c r="F127" s="24">
        <v>18.190000000000001</v>
      </c>
      <c r="G127" s="24">
        <f t="shared" si="5"/>
        <v>0.72760000000000002</v>
      </c>
      <c r="H127" s="43" t="s">
        <v>113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</sheetData>
  <mergeCells count="24">
    <mergeCell ref="H118:H122"/>
    <mergeCell ref="H62:H64"/>
    <mergeCell ref="H66:H69"/>
    <mergeCell ref="H73:H80"/>
    <mergeCell ref="H81:H84"/>
    <mergeCell ref="H85:H86"/>
    <mergeCell ref="A28:A30"/>
    <mergeCell ref="A31:A34"/>
    <mergeCell ref="A35:A42"/>
    <mergeCell ref="H59:H60"/>
    <mergeCell ref="A44:A47"/>
    <mergeCell ref="H44:H47"/>
    <mergeCell ref="H33:H34"/>
    <mergeCell ref="H37:H42"/>
    <mergeCell ref="H48:H51"/>
    <mergeCell ref="H56:H57"/>
    <mergeCell ref="A2:A8"/>
    <mergeCell ref="A9:A18"/>
    <mergeCell ref="H2:H3"/>
    <mergeCell ref="A48:A54"/>
    <mergeCell ref="A65:A72"/>
    <mergeCell ref="A61:A64"/>
    <mergeCell ref="A73:A80"/>
    <mergeCell ref="A58:A60"/>
  </mergeCells>
  <phoneticPr fontId="6" type="noConversion"/>
  <hyperlinks>
    <hyperlink ref="H20" r:id="rId1" xr:uid="{030CEE2F-3222-47F5-9448-D5B662D5694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2026-04-20T19:00:09Z</dcterms:modified>
</cp:coreProperties>
</file>